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WMA access" sheetId="3" state="visible" r:id="rId5"/>
    <sheet name="State park access" sheetId="4" state="visible" r:id="rId6"/>
    <sheet name="Layers found" sheetId="5" state="visible" r:id="rId7"/>
    <sheet name="Kentucky model" sheetId="6" state="visible" r:id="rId8"/>
  </sheets>
  <definedNames>
    <definedName function="false" hidden="true" localSheetId="3" name="_xlnm._FilterDatabase" vbProcedure="false">'State park access'!$A$1:$P$51</definedName>
    <definedName function="false" hidden="true" localSheetId="2" name="_xlnm._FilterDatabase" vbProcedure="false">'WMA access'!$A$1:$P$49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<sst xmlns="http://schemas.openxmlformats.org/spreadsheetml/2006/main" count="618" uniqueCount="390">
  <si>
    <t xml:space="preserve">KPC research worklist, round 3: PARKING, ENTRANCES and ACCESS POINTS</t>
  </si>
  <si>
    <t xml:space="preserve">Prepared Oct 25 2026 by the KPC mapping chat for the outside research bot. Return this same file with the yellow columns filled in, plus the "Layers found" tab.</t>
  </si>
  <si>
    <t xml:space="preserve">WHAT WE NEED</t>
  </si>
  <si>
    <t xml:space="preserve">Official map layers of the places people PARK or ENTER a park: parking lots, main entrances, gates, information kiosks, boat ramps/launches, and trailheads that have parking.</t>
  </si>
  <si>
    <t xml:space="preserve">First the WILDLIFE AREAS (tab "WMA access", 47 states, about 4,000 POTA parks), then STATE PARKS (tab "State park access").</t>
  </si>
  <si>
    <t xml:space="preserve">Points are best. Small polygons (parking-lot outlines) are fine. Road or trail LINES are not what we need.</t>
  </si>
  <si>
    <t xml:space="preserve">WHY</t>
  </si>
  <si>
    <t xml:space="preserve">Our park cards show a "drive here" pin. Kentucky has the official agency points (see the "Kentucky model" tab); every other state has only POTA's map pin, which is often in the middle of the land, miles from a road.</t>
  </si>
  <si>
    <t xml:space="preserve">RULES (same as rounds 1 and 2)</t>
  </si>
  <si>
    <t xml:space="preserve">1. Official sources only: the state wildlife / parks agency (or a state GIS office publishing the agency's data). No county, city, club, nonprofit or hobby layers. Federal agency layers are fine where the land is federally run.</t>
  </si>
  <si>
    <t xml:space="preserve">2. Test every layer: it must answer a query (count + 3 sample rows). Write the date in "Tested".</t>
  </si>
  <si>
    <t xml:space="preserve">3. Write the field that says WHAT each point is (Type field) and which values mean parking / entrance / gate / ramp.</t>
  </si>
  <si>
    <t xml:space="preserve">4. Write the field that says WHICH AREA the point belongs to (WMA name field). If there is none, write "location only" (we will match by falling inside our WMA outline).</t>
  </si>
  <si>
    <t xml:space="preserve">5. Note the licence or terms if the agency states one. Never get around a login, a 403, or a bad security certificate: note it as blocked.</t>
  </si>
  <si>
    <t xml:space="preserve">6. One layer can serve many parks: put the same link on each state row and list it ONCE in "Layers found".</t>
  </si>
  <si>
    <t xml:space="preserve">7. If the agency has no point layer but publishes a map PDF per area showing parking, put that page link in "PDF maps page" (a person can use it; we will not scrape it).</t>
  </si>
  <si>
    <t xml:space="preserve">WHICH CELLS TO FILL</t>
  </si>
  <si>
    <t xml:space="preserve">Yellow cells only. The green row on each tab is a filled-in EXAMPLE from Kentucky to show the format. Grey columns are ours; please don't change them.</t>
  </si>
  <si>
    <t xml:space="preserve">Rows are sorted by how many POTA parks each state has (do the top rows first).</t>
  </si>
  <si>
    <t xml:space="preserve">Tab</t>
  </si>
  <si>
    <t xml:space="preserve">POTA parks</t>
  </si>
  <si>
    <t xml:space="preserve">States</t>
  </si>
  <si>
    <t xml:space="preserve">States with a layer filled in</t>
  </si>
  <si>
    <t xml:space="preserve">WMA access</t>
  </si>
  <si>
    <t xml:space="preserve">State park access</t>
  </si>
  <si>
    <t xml:space="preserve">Totals count only the state rows (row 2 on each tab is the Kentucky example).</t>
  </si>
  <si>
    <t xml:space="preserve">State</t>
  </si>
  <si>
    <t xml:space="preserve">State name</t>
  </si>
  <si>
    <t xml:space="preserve">POTA parks (this kind)</t>
  </si>
  <si>
    <t xml:space="preserve">Most common POTA type</t>
  </si>
  <si>
    <t xml:space="preserve">Example parks (ref · name)</t>
  </si>
  <si>
    <t xml:space="preserve">Boundary layer we already have</t>
  </si>
  <si>
    <t xml:space="preserve">Access-point layer link (YOU)</t>
  </si>
  <si>
    <t xml:space="preserve">Point types found (YOU)</t>
  </si>
  <si>
    <t xml:space="preserve">Type field + values that mean parking / entrance (YOU)</t>
  </si>
  <si>
    <t xml:space="preserve">Area name field, or "location only" (YOU)</t>
  </si>
  <si>
    <t xml:space="preserve">Count (YOU)</t>
  </si>
  <si>
    <t xml:space="preserve">3 sample rows (YOU)</t>
  </si>
  <si>
    <t xml:space="preserve">PDF maps page (YOU)</t>
  </si>
  <si>
    <t xml:space="preserve">Tested (YOU)</t>
  </si>
  <si>
    <t xml:space="preserve">Licence / terms (YOU)</t>
  </si>
  <si>
    <t xml:space="preserve">Notes / blocked (YOU)</t>
  </si>
  <si>
    <t xml:space="preserve">KY (EXAMPLE)</t>
  </si>
  <si>
    <t xml:space="preserve">Kentucky</t>
  </si>
  <si>
    <t xml:space="preserve">Wildlife Management Area</t>
  </si>
  <si>
    <t xml:space="preserve">US-10131 · Gabbard Branch WMA</t>
  </si>
  <si>
    <t xml:space="preserve">KDFWR public hunting areas (outlines)</t>
  </si>
  <si>
    <t xml:space="preserve">https://services5.arcgis.com/RMHPuOW5MJ6iyTV6/arcgis/rest/services/WMA_Map_Points/FeatureServer/0</t>
  </si>
  <si>
    <t xml:space="preserve">parking lot, gate, kiosk, boat ramp, entrance</t>
  </si>
  <si>
    <t xml:space="preserve">Type: "Parking Lot", "Gate", "Information Kiosk", "Boat Ramp"</t>
  </si>
  <si>
    <t xml:space="preserve">WMANAME</t>
  </si>
  <si>
    <t xml:space="preserve">1716</t>
  </si>
  <si>
    <t xml:space="preserve">Entrance · Parking Lot · (WMA name); Gate · Gate · …; Kiosk · Information Kiosk · …</t>
  </si>
  <si>
    <t xml:space="preserve">https://fw.ky.gov/ (WMA "View Detailed Map" PDFs)</t>
  </si>
  <si>
    <t xml:space="preserve">yes 2026-10-18</t>
  </si>
  <si>
    <t xml:space="preserve">none stated (state open data)</t>
  </si>
  <si>
    <t xml:space="preserve">Also layer public_hunting_areas_service/FeatureServer/0 (entrances) + /1 (parking lots and kiosks)</t>
  </si>
  <si>
    <t xml:space="preserve">MO</t>
  </si>
  <si>
    <t xml:space="preserve">Missouri</t>
  </si>
  <si>
    <t xml:space="preserve">State Conservation Area</t>
  </si>
  <si>
    <t xml:space="preserve">US-6470 · Burr Oak Woods State Conservation Area; US-5699 · August A. Busch Memorial State Conservation Area; US-11266 · August G Beckmeier State Conservation Area</t>
  </si>
  <si>
    <t xml:space="preserve">Missouri Department of Conservation (gisblue.: https://gisblue.mdc.mo.gov/arcgis/rest/services/Discover_Nature/MDC_Administrative_Areas/FeatureServer/5</t>
  </si>
  <si>
    <t xml:space="preserve">PA</t>
  </si>
  <si>
    <t xml:space="preserve">Pennsylvania</t>
  </si>
  <si>
    <t xml:space="preserve">State Game Land</t>
  </si>
  <si>
    <t xml:space="preserve">US-8900 · PA 203 State Game Land; US-8843 · PA 145 State Game Land; US-8914 · PA 217 State Game Land</t>
  </si>
  <si>
    <t xml:space="preserve">Pennsylvania Game Commission (PGC AGOL org k8: https://services1.arcgis.com/k8yxvICm95iIFicb/arcgis/rest/services/State_Game_Lands_Boundaries/FeatureServer/300</t>
  </si>
  <si>
    <t xml:space="preserve">MA</t>
  </si>
  <si>
    <t xml:space="preserve">Massachusetts</t>
  </si>
  <si>
    <t xml:space="preserve">US-11591 · Eagle Island Wildlife Management Area; US-11625 · Erwin S. Wilder Wildlife Management Area; US-11590 · Dunstable Brook Wildlife Management Area</t>
  </si>
  <si>
    <t xml:space="preserve">MassGIS / Executive Office of Energy and Envi: https://arcgisserver.digital.mass.gov/arcgisserver/rest/services/AGOL/openspace/FeatureServer/0; Massachusetts DCR (DCRStateParks account, mas: https://services1.arcgis.com/7iJyYTjCtKsZS1LR/arcgis/rest/services/Search_DCRownManOS_SitenameDiss/FeatureServer/0</t>
  </si>
  <si>
    <t xml:space="preserve">FL</t>
  </si>
  <si>
    <t xml:space="preserve">Florida</t>
  </si>
  <si>
    <t xml:space="preserve">US-6700 · Sawgrass Lake Park State Conservation Area; US-8356 · Lake Monroe State Conservation Area; US-8353 · Lake Apopka North Shore State Conservation Area</t>
  </si>
  <si>
    <t xml:space="preserve">Suwannee River Water Management District: https://services1.arcgis.com/59dBAbzYnRk8johU/arcgis/rest/services/SRWMD_LM_Ownership/FeatureServer/0; St. Johns River Water Management District: https://services.arcgis.com/s8wtJX9suxFen6TA/arcgis/rest/services/SJRWMD_Management_Area_viewLayer/FeatureServer/0</t>
  </si>
  <si>
    <t xml:space="preserve">WI</t>
  </si>
  <si>
    <t xml:space="preserve">Wisconsin</t>
  </si>
  <si>
    <t xml:space="preserve">State Wildlife Area</t>
  </si>
  <si>
    <t xml:space="preserve">US-4306 · Mack State Wildlife Area; US-4326 · Rat River State Wildlife Area; US-4274 · Brillion State Wildlife Area</t>
  </si>
  <si>
    <t xml:space="preserve">Wisconsin DNR: https://dnrmaps.wi.gov/arcgis/rest/services/LF_DML/LF_AGOL_STAGING_WTM_Ext/MapServer/0; Wisconsin DNR Bureau of Facilities and Lands: https://dnrmaps.wi.gov/arcgis/rest/services/LF_DML/LF_AGOL_STAGING_WTM_Ext/MapServer/1</t>
  </si>
  <si>
    <t xml:space="preserve">MI</t>
  </si>
  <si>
    <t xml:space="preserve">Michigan</t>
  </si>
  <si>
    <t xml:space="preserve">US-6621 · Barry State Game Land; US-6761 · Pointe Mouillee State Game Land; US-10063 · Crystal Waters State Game Land</t>
  </si>
  <si>
    <t xml:space="preserve">Michigan Department of Natural Resources (AGO: https://services3.arcgis.com/Jdnp1TjADvSDxMAX/arcgis/rest/services/DNRWILDLandsOPENDATA/FeatureServer/2</t>
  </si>
  <si>
    <t xml:space="preserve">WA</t>
  </si>
  <si>
    <t xml:space="preserve">Washington</t>
  </si>
  <si>
    <t xml:space="preserve">US-12339 · Crescent Lake State Wildlife Area; US-12342 · Stillwater State Wildlife Area; US-12338 · Cherry Valley State Wildlife Area</t>
  </si>
  <si>
    <t xml:space="preserve">Washington Department of Fish and Wildlife: https://geodataservices.wdfw.wa.gov/arcgis/rest/services/WP_RealEstate/ManagedPlaces/MapServer/0; Washington State Department of Natural Resour: https://gis.dnr.wa.gov/site3/rest/services/Public_Boundaries/WADNR_PUBLIC_Major_Public_Lands_NonDNR/MapServer/1</t>
  </si>
  <si>
    <t xml:space="preserve">CO</t>
  </si>
  <si>
    <t xml:space="preserve">Colorado</t>
  </si>
  <si>
    <t xml:space="preserve">US-1239 · San Luis Lakes State Wildlife Area; US-9669 · Sawhill Ponds State Wildlife Area; US-10533 · Watson Lake State Wildlife Area</t>
  </si>
  <si>
    <t xml:space="preserve">Colorado Parks &amp; Wildlife: https://gis.colorado.gov/public/rest/services/OIT/Colorado_State_Basemap/MapServer/30; Colorado Parks &amp; Wildlife (CPW AGOL org ttNGm: https://services5.arcgis.com/ttNGmDvKQA7oeDQ3/arcgis/rest/services/CPWAdminData/FeatureServer/5</t>
  </si>
  <si>
    <t xml:space="preserve">MT</t>
  </si>
  <si>
    <t xml:space="preserve">Montana</t>
  </si>
  <si>
    <t xml:space="preserve">State Fish and Wildlife Area</t>
  </si>
  <si>
    <t xml:space="preserve">US-12879 · Harper Lake State Fish and Wildlife Area; US-12910 · Raynold's Pass State Fish and Wildlife Area; US-12826 · Brown's Lake State Fish and Wildlife Area</t>
  </si>
  <si>
    <t xml:space="preserve">Montana Fish, Wildlife &amp; Parks: https://services3.arcgis.com/Cdxz8r11hT0MGzg1/arcgis/rest/services/FWPLND_WMA/FeatureServer/0; Montana Fish, Wildlife &amp; Parks: https://services3.arcgis.com/Cdxz8r11hT0MGzg1/arcgis/rest/services/FWPLND_FAS/FeatureServer/0</t>
  </si>
  <si>
    <t xml:space="preserve">NY</t>
  </si>
  <si>
    <t xml:space="preserve">New York</t>
  </si>
  <si>
    <t xml:space="preserve">US-2081 · Iona Island Wildlife Management Area; US-8077 · Braddock Bay Wildlife Management Area; US-8078 · Three Rivers Wildlife Management Area</t>
  </si>
  <si>
    <t xml:space="preserve">New York State DEC: https://services6.arcgis.com/DZHaqZm9cxOD4CWM/ArcGIS/rest/services/NYS_DEC_Lands/FeatureServer/0</t>
  </si>
  <si>
    <t xml:space="preserve">GA</t>
  </si>
  <si>
    <t xml:space="preserve">Georgia</t>
  </si>
  <si>
    <t xml:space="preserve">US-7882 · Doerun Pitcherplant Bog Wildlife Management Area; US-7140 · Charlie Elliot Wildlife Management Area; US-7141 · Clybel Wildlife Management Area</t>
  </si>
  <si>
    <t xml:space="preserve">Georgia DNR Wildlife Resources Division: https://services6.arcgis.com/9QlSLDqa0P1cHLhu/arcgis/rest/services/Georgia_Licenses_by_District/FeatureServer/9; Georgia DNR Wildlife Resources Division (GA D: https://services6.arcgis.com/9QlSLDqa0P1cHLhu/arcgis/rest/services/WRD_WMA_Public/FeatureServer/14</t>
  </si>
  <si>
    <t xml:space="preserve">TN</t>
  </si>
  <si>
    <t xml:space="preserve">Tennessee</t>
  </si>
  <si>
    <t xml:space="preserve">US-7615 · Percy Priest Wildlife Management Area; US-11241 · Oak Ridge Wildlife Management Area; US-7622 · Tellico Lake Wildlife Management Area</t>
  </si>
  <si>
    <t xml:space="preserve">Tennessee Wildlife Resources Agency: https://services3.arcgis.com/PWXNAH2YKmZY7lBq/arcgis/rest/services/Hunting_Allowed/FeatureServer/0; Tennessee Wildlife Resources Agency lands, pu: https://services5.arcgis.com/bPacKTm9cauMXVfn/arcgis/rest/services/Tennessee_State_and_Federal_Lands_WFL1/FeatureServer/49</t>
  </si>
  <si>
    <t xml:space="preserve">AR</t>
  </si>
  <si>
    <t xml:space="preserve">Arkansas</t>
  </si>
  <si>
    <t xml:space="preserve">US-7278 · Cypress Bayou Wildlife Management Area; US-7523 · DeGray Wildlife Management Area; US-7280 · Dardanelle Wildlife Management Area</t>
  </si>
  <si>
    <t xml:space="preserve">Arkansas Game and Fish Commission (AGOL org 5: https://services.arcgis.com/5bMc8SlGDYGINZr5/arcgis/rest/services/lakes/FeatureServer/11</t>
  </si>
  <si>
    <t xml:space="preserve">OH</t>
  </si>
  <si>
    <t xml:space="preserve">Ohio</t>
  </si>
  <si>
    <t xml:space="preserve">US-7850 · Caesar Creek Lake State Wildlife Area; US-10632 · Clark Lake State Wildlife Area; US-9455 · Darke State Wildlife Area</t>
  </si>
  <si>
    <t xml:space="preserve">Ohio DNR Division of Wildlife: https://gis.ohiodnr.gov/arcgis/rest/services/OIT_Services/ODNR_ODNR_Lands_Public_nolakes/FeatureServer/7; Ohio DNR: https://gis.ohiodnr.gov/image/rest/services/OIT_Services/ODNR_Basemap_Streets_2018_WM/MapServer/134</t>
  </si>
  <si>
    <t xml:space="preserve">NC</t>
  </si>
  <si>
    <t xml:space="preserve">North Carolina</t>
  </si>
  <si>
    <t xml:space="preserve">US-6927 · Nantahala State Game Land; US-6954 · Suggs Mill Pond State Game Land; US-6962 · Uwharrie State Game Land</t>
  </si>
  <si>
    <t xml:space="preserve">NCWRC (owner ncwildlife.gov): https://services1.arcgis.com/YfqBAUM5nWR3yhGP/arcgis/rest/services/gamelands_general/FeatureServer/21</t>
  </si>
  <si>
    <t xml:space="preserve">UT</t>
  </si>
  <si>
    <t xml:space="preserve">Utah</t>
  </si>
  <si>
    <t xml:space="preserve">US-11195 · Burraston Ponds Wildlife Management Area; US-5998 · Horseshoe Springs Wildlife Management Area; US-5947 · Middle Fork State Wildlife Management Area</t>
  </si>
  <si>
    <t xml:space="preserve">Utah Division of Wildlife Resources (AGOL own: https://services.arcgis.com/ZzrwjTRez6FJiOq4/arcgis/rest/services/WMAs_WFL1/FeatureServer/0</t>
  </si>
  <si>
    <t xml:space="preserve">WV</t>
  </si>
  <si>
    <t xml:space="preserve">West Virginia</t>
  </si>
  <si>
    <t xml:space="preserve">US-7050 · Green Bottom Wildlife Management Area; US-9743 · Tomblin Wildlife Management Area; US-9740 · Chief Logan Wildlife Management Area</t>
  </si>
  <si>
    <t xml:space="preserve">West Virginia DNR: https://services9.arcgis.com/SQbkdxLkuQJuLGtx/arcgis/rest/services/WildlifeManagementAreas/FeatureServer/1</t>
  </si>
  <si>
    <t xml:space="preserve">IA</t>
  </si>
  <si>
    <t xml:space="preserve">Iowa</t>
  </si>
  <si>
    <t xml:space="preserve">US-9349 · Lost Grove Lake Wildlife Management Area; US-9293 · Hendrickson Marsh Wildlife Management Area; US-9913 · Colo Bogs Wildlife Management Area</t>
  </si>
  <si>
    <t xml:space="preserve">Iowa DNR: https://programs.iowadnr.gov/geospatial/rest/services/Recreation/State_Parks/MapServer/9</t>
  </si>
  <si>
    <t xml:space="preserve">OK</t>
  </si>
  <si>
    <t xml:space="preserve">Oklahoma</t>
  </si>
  <si>
    <t xml:space="preserve">US-6356 · Keystone Wildlife Management Area; US-10658 · Lake Carl Blackwell Wildlife Management Area; US-6358 · Love Valley Wildlife Management Area</t>
  </si>
  <si>
    <t xml:space="preserve">Oklahoma Department of Wildlife Conservation : https://services6.arcgis.com/RBtoEUQ2lmN0K3GY/arcgis/rest/services/OklahomaRecreationalAreas/FeatureServer/0; ODWC (owner ODWC_GIS): https://services1.arcgis.com/jRf8jjFwxedITdFe/arcgis/rest/services/Public_WMA_Boundaries/FeatureServer/1</t>
  </si>
  <si>
    <t xml:space="preserve">MN</t>
  </si>
  <si>
    <t xml:space="preserve">Minnesota</t>
  </si>
  <si>
    <t xml:space="preserve">US-10380 · Orwell WMA Wildlife Management Area; US-11980 · Bethel Wildlife Management Area; US-11786 · Prairie Ridge WMA Wildlife Management Area</t>
  </si>
  <si>
    <t xml:space="preserve">Minnesota DNR: https://enterprise.gisdata.mn.gov/aghost/rest/services/us_mn_state_dnr/bdry_dnr_wildlife_mgmt_areas_pub/FeatureServer/0</t>
  </si>
  <si>
    <t xml:space="preserve">NJ</t>
  </si>
  <si>
    <t xml:space="preserve">New Jersey</t>
  </si>
  <si>
    <t xml:space="preserve">US-8032 · Black River Wildlife Management Area; US-7504 · Assunpink Wildlife Management Area; US-11965 · Glassboro Wildlife Management Area</t>
  </si>
  <si>
    <t xml:space="preserve">New Jersey DEP (state-owned open space): https://services1.arcgis.com/QWdNfRs7lkPq4g4Q/ArcGIS/rest/services/Open_Space__State_Owned__Generalized_h/FeatureServer/67</t>
  </si>
  <si>
    <t xml:space="preserve">LA</t>
  </si>
  <si>
    <t xml:space="preserve">Louisiana</t>
  </si>
  <si>
    <t xml:space="preserve">US-4069 · Maurepas Swamp Wildlife Management Area; US-4082 · Sherburne Wildlife Management Area; US-4071 · Pearl River Wildlife Management Area</t>
  </si>
  <si>
    <t xml:space="preserve">Louisiana Department of Wildlife &amp; Fisheries: https://services1.arcgis.com/6euNCaGPCgCzgAVF/arcgis/rest/services/LDWF_WMA_Refuge/FeatureServer/0; LDWF (owner LDWF_ArcGIS1), Sep 2025 edition: https://services1.arcgis.com/6euNCaGPCgCzgAVF/arcgis/rest/services/LOE_LDWF_WMAs_09262025_WGS84_WMAS/FeatureServer/0</t>
  </si>
  <si>
    <t xml:space="preserve">NE</t>
  </si>
  <si>
    <t xml:space="preserve">Nebraska</t>
  </si>
  <si>
    <t xml:space="preserve">US-3377 · Schilling Wildlife Management Area; US-4018 · Wildwood Lake Wildlife Management Area; US-4023 · Chalkrock Wildlife Management Area</t>
  </si>
  <si>
    <t xml:space="preserve">Nebraska Game and Parks Commission: https://services5.arcgis.com/IOshH1zLrIieqrNk/arcgis/rest/services/Conservation_Partner_Lands/FeatureServer/0; NGPC (owner NGPC.GISAdmin): https://services5.arcgis.com/IOshH1zLrIieqrNk/arcgis/rest/services/NPGCProperties2023_2024/FeatureServer/268</t>
  </si>
  <si>
    <t xml:space="preserve">ME</t>
  </si>
  <si>
    <t xml:space="preserve">Maine</t>
  </si>
  <si>
    <t xml:space="preserve">US-8448 · Mt. Agamenticus Wildlife Management Area; US-8479 · Kennebunk Plains Wildlife Management Area; US-8455 · James Dorso (Ruffingham Meadow) Wildlife Management Area</t>
  </si>
  <si>
    <t xml:space="preserve">State of Maine conserved lands (Bureau of Par: https://services1.arcgis.com/RbMX0mRVOFNTdLzd/arcgis/rest/services/Maine_Conserved_Lands_Fee/FeatureServer/0</t>
  </si>
  <si>
    <t xml:space="preserve">ND</t>
  </si>
  <si>
    <t xml:space="preserve">North Dakota</t>
  </si>
  <si>
    <t xml:space="preserve">US-8572 · Clausen Springs Wildlife Management Area; US-8578 · Erie Dam/Brewer Lake Wildlife Management Area; US-8593 · Magnolia Wildlife Management Area</t>
  </si>
  <si>
    <t xml:space="preserve">North Dakota Game &amp; Fish: https://services1.arcgis.com/GOcSXpzwBHyk2nog/arcgis/rest/services/NDGISHUB_Wildlife_Management_Areas/FeatureServer/0</t>
  </si>
  <si>
    <t xml:space="preserve">AL</t>
  </si>
  <si>
    <t xml:space="preserve">Alabama</t>
  </si>
  <si>
    <t xml:space="preserve">US-10396 · Black Warrior Wildlife Management Area; US-9865 · Swan Creek Wildlife Management Area; US-3699 · Mobile-Tensaw Delta Wildlife Management Area</t>
  </si>
  <si>
    <t xml:space="preserve">ADCNR Wildlife and Freshwater Fisheries: https://conservationgis.alabama.gov/adcnrweb/rest/services/WildlifeManagementAreas/MapServer/0; ADCNR Wildlife and Freshwater Fisheries: https://conservationgis.alabama.gov/adcnrweb/rest/services/PublicFishingLakes/MapServer/1</t>
  </si>
  <si>
    <t xml:space="preserve">SC</t>
  </si>
  <si>
    <t xml:space="preserve">South Carolina</t>
  </si>
  <si>
    <t xml:space="preserve">US-9199 · Hatchery Wildlife Management Area; US-3894 · Draper Wildlife Management Area; US-3888 · Bonneau Ferry Wildlife Management Area</t>
  </si>
  <si>
    <t xml:space="preserve">South Carolina DNR (WMAs, heritage preserves): https://services.arcgis.com/acgZYxoN5Oj8pDLa/arcgis/rest/services/DEV_-_SCDNR_Public_Lands_Viewer/FeatureServer/4</t>
  </si>
  <si>
    <t xml:space="preserve">MD</t>
  </si>
  <si>
    <t xml:space="preserve">Maryland</t>
  </si>
  <si>
    <t xml:space="preserve">US-7729 · Hugg-Thomas Wildlife Management Area; US-7728 · Gwynnbrook Wildlife Management Area; US-7742 · Isle of Wight Wildlife Management Area</t>
  </si>
  <si>
    <t xml:space="preserve">Maryland DNR (state parks, WMAs, forests, nat: https://mdgeodata.md.gov/imap/rest/services/Environment/MD_ProtectedLands/FeatureServer/0</t>
  </si>
  <si>
    <t xml:space="preserve">MS</t>
  </si>
  <si>
    <t xml:space="preserve">Mississippi</t>
  </si>
  <si>
    <t xml:space="preserve">US-7088 · Choctaw Wildlife Management Area; US-7110 · Little Biloxi Wildlife Management Area; US-7119 · Natchez Wildlife Management Area</t>
  </si>
  <si>
    <t xml:space="preserve">none yet</t>
  </si>
  <si>
    <t xml:space="preserve">IL</t>
  </si>
  <si>
    <t xml:space="preserve">Illinois</t>
  </si>
  <si>
    <t xml:space="preserve">US-4133 · Jim Edgar Panther Creek State Fish and Wildlife Area; US-4120 · Des Plaines State Fish and Wildlife Area; US-7371 · Sam Dale Lake State Fish and Wildlife Area</t>
  </si>
  <si>
    <t xml:space="preserve">TX</t>
  </si>
  <si>
    <t xml:space="preserve">Texas</t>
  </si>
  <si>
    <t xml:space="preserve">US-10509 · Sam Houston National Forest Wildlife Management Area; US-6574 · Lower Neches Wildlife Management Area; US-6605 · Tawakoni Wildlife Management Area</t>
  </si>
  <si>
    <t xml:space="preserve">Texas Parks &amp; Wildlife Department (public hun: https://tpwd.texas.gov/arcgis/rest/services/Wildlife/TPWD_PublicHuntLocatorMap/MapServer/9; TPWD Wildlife Division (owner nancy.heger@tpw: https://services1.arcgis.com/1mtXwieMId59thmg/arcgis/rest/services/WMA_Boundaries_4PublicDistribution/FeatureServer/0</t>
  </si>
  <si>
    <t xml:space="preserve">WY</t>
  </si>
  <si>
    <t xml:space="preserve">Wyoming</t>
  </si>
  <si>
    <t xml:space="preserve">State Wildlife Habitat Management Area</t>
  </si>
  <si>
    <t xml:space="preserve">US-10778 · Sand Creek State Wildlife Habitat Management Area; US-10789 · North Glendo State Wildlife Habitat Management Area; US-10791 · Pilot Hill State Wildlife Habitat Management Area</t>
  </si>
  <si>
    <t xml:space="preserve">Wyoming Game and Fish Department (AGOL org cW: https://services6.arcgis.com/cWzdqIyxbijuhPLw/arcgis/rest/services/WHMA_Boundaries/FeatureServer/4; Wyoming Game and Fish Department (AGOL org cW: https://services6.arcgis.com/cWzdqIyxbijuhPLw/arcgis/rest/services/PAA_Boundaries/FeatureServer/1</t>
  </si>
  <si>
    <t xml:space="preserve">ID</t>
  </si>
  <si>
    <t xml:space="preserve">Idaho</t>
  </si>
  <si>
    <t xml:space="preserve">US-5612 · Niagara Springs Wildlife Management Area; US-5593 · Boise River Wildlife Management Area; US-5604 · Fort Boise Wildlife Management Area</t>
  </si>
  <si>
    <t xml:space="preserve">Idaho Fish &amp; Game: https://services.arcgis.com/FjJI5xHF2dUPVrgK/arcgis/rest/services/WildlifeManagementAreas/FeatureServer/0; Idaho Department of Fish and Game (Hydrograph: https://services.arcgis.com/FjJI5xHF2dUPVrgK/arcgis/rest/services/Hydrography_Public/FeatureServer/0</t>
  </si>
  <si>
    <t xml:space="preserve">KS</t>
  </si>
  <si>
    <t xml:space="preserve">Kansas</t>
  </si>
  <si>
    <t xml:space="preserve">US-7937 · McPherson Valley Wetlands State Wildlife Area; US-7929 · Hillsdale State Wildlife Area; US-7920 · Cheney State Wildlife Area</t>
  </si>
  <si>
    <t xml:space="preserve">KDWPT (owner jjones_KDWPT): https://services1.arcgis.com/q2CglofYX6ACNEeu/arcgis/rest/services/KDWPT_Wildlife_Areas/FeatureServer/0; KDWPT (owner jjones_KDWPT; KS Natural Heritag: https://services1.arcgis.com/q2CglofYX6ACNEeu/arcgis/rest/services/protected_areas/FeatureServer/0</t>
  </si>
  <si>
    <t xml:space="preserve">IN</t>
  </si>
  <si>
    <t xml:space="preserve">Indiana</t>
  </si>
  <si>
    <t xml:space="preserve">US-4208 · J. E. Roush Lake State Fish and Wildlife Area; US-4187 · Blue Grass State Fish and Wildlife Area; US-4213 · LaSalle State Fish and Wildlife Area</t>
  </si>
  <si>
    <t xml:space="preserve">Indiana DNR: https://gisdata.in.gov/server/rest/services/Hosted/ManagedLands_DNR_Open/FeatureServer/0</t>
  </si>
  <si>
    <t xml:space="preserve">CA</t>
  </si>
  <si>
    <t xml:space="preserve">California</t>
  </si>
  <si>
    <t xml:space="preserve">US-3581 · Torrey Pines Reserve State Conservation Area; US-3583 · Tule Elk Reserve State Conservation Area; US-3578 · Tijuana Estuary Reserve State Conservation Area</t>
  </si>
  <si>
    <t xml:space="preserve">California Department of Fish &amp; Wildlife: https://services2.arcgis.com/Uq9r85Potqm3MfRV/arcgis/rest/services/biosds3077_fpu/FeatureServer/0</t>
  </si>
  <si>
    <t xml:space="preserve">OR</t>
  </si>
  <si>
    <t xml:space="preserve">Oregon</t>
  </si>
  <si>
    <t xml:space="preserve">US-10014 · Fern Ridge State Fish and Wildlife Area; US-9996 · Sauvie Island State Fish and Wildlife Area; US-10000 · Power City State Fish and Wildlife Area</t>
  </si>
  <si>
    <t xml:space="preserve">Oregon Department of Fish and Wildlife (AGOL : https://services.arcgis.com/uUvqNMGPm7axC2dD/arcgis/rest/services/ODFW_Wildlife_Areas/FeatureServer/0</t>
  </si>
  <si>
    <t xml:space="preserve">DE</t>
  </si>
  <si>
    <t xml:space="preserve">Delaware</t>
  </si>
  <si>
    <t xml:space="preserve">US-7645 · Assawoman Bay State Wildlife Area; US-5723 · Milford Neck State Wildlife Area; US-5724 · Prime Hook State Wildlife Area</t>
  </si>
  <si>
    <t xml:space="preserve">Delaware DNREC: https://enterprise.firstmap.delaware.gov/arcgis/rest/services/Society/DE_State_Lands/FeatureServer/0; Delaware Fish &amp; Wildlife (DNREC): https://enterprise.firstmap.delaware.gov/arcgis/rest/services/Environmental/DE_Protected_Natural_Resources/MapServer/17</t>
  </si>
  <si>
    <t xml:space="preserve">AZ</t>
  </si>
  <si>
    <t xml:space="preserve">Arizona</t>
  </si>
  <si>
    <t xml:space="preserve">US-11028 · Robbins Butte Wildlife Area State Wildlife Area; US-11982 · Base &amp; Meridian State Wildlife Area; US-7382 · Arlington State Wildlife Area</t>
  </si>
  <si>
    <t xml:space="preserve">Arizona Game and Fish Department (AZGFD_GIS o: https://services2.arcgis.com/os1CphwIyxBDDUGn/arcgis/rest/services/Wildlife_Areas/FeatureServer/0; Arizona Game and Fish Department (AZGFD_GIS o: https://services2.arcgis.com/os1CphwIyxBDDUGn/arcgis/rest/services/Hatchery_Polys/FeatureServer/0</t>
  </si>
  <si>
    <t xml:space="preserve">RI</t>
  </si>
  <si>
    <t xml:space="preserve">Rhode Island</t>
  </si>
  <si>
    <t xml:space="preserve">US-6982 · Big River Wildlife Management Area; US-6980 · Beach Pond Wildlife Management Area; US-7714 · Buck Hill Wildlife Management Area</t>
  </si>
  <si>
    <t xml:space="preserve">Rhode Island DEM: https://risegis.ri.gov/hosting/rest/services/RIDEM/State_Conservation_Land/MapServer/0; Rhode Island DEM: https://services2.arcgis.com/S8zZg9pg23JUEexQ/ArcGIS/rest/services/ENV_Conservation_Lands_State_spf/FeatureServer/0</t>
  </si>
  <si>
    <t xml:space="preserve">NV</t>
  </si>
  <si>
    <t xml:space="preserve">Nevada</t>
  </si>
  <si>
    <t xml:space="preserve">US-7495 · Mason Valley Wildlife Management Area; US-13064 · Scripps Wildlife Management Area; US-8311 · Humboldt State Wildlife Management Area</t>
  </si>
  <si>
    <t xml:space="preserve">Nevada Department of Wildlife: https://services.arcgis.com/RyxlXSfFi87rAosq/arcgis/rest/services/Wildlife_Management_Areas/FeatureServer/0; Nevada outdoor recreation areas (NV Division : https://arcgis.water.nv.gov/arcgis/rest/services/Hosted/SCORPRecAreas_Master/FeatureServer/0</t>
  </si>
  <si>
    <t xml:space="preserve">CT</t>
  </si>
  <si>
    <t xml:space="preserve">Connecticut</t>
  </si>
  <si>
    <t xml:space="preserve">US-11712 · Cromwell Meadows WMA Wildlife Management Area; US-10656 · Barn Island Wildlife Management Area; US-6868 · Pawcatuck River Wildlife Management Area</t>
  </si>
  <si>
    <t xml:space="preserve">Connecticut DEEP: https://services1.arcgis.com/FjPcSmEFuDYlIdKC/ArcGIS/rest/services/Connecticut_DEEP_Property/FeatureServer/0; CT DEEP (deepgis account): https://services1.arcgis.com/FjPcSmEFuDYlIdKC/arcgis/rest/services/2011_Protected_Open_Space_Mapping/FeatureServer/0</t>
  </si>
  <si>
    <t xml:space="preserve">AK</t>
  </si>
  <si>
    <t xml:space="preserve">Alaska</t>
  </si>
  <si>
    <t xml:space="preserve">Wildlife Refuge</t>
  </si>
  <si>
    <t xml:space="preserve">US-9697 · Creamer's Field Wildlife Refuge; US-9696 · Anchorage Coastal Wildlife Refuge; US-9701 · Palmer Hay Flats Wildlife Refuge</t>
  </si>
  <si>
    <t xml:space="preserve">NH</t>
  </si>
  <si>
    <t xml:space="preserve">New Hampshire</t>
  </si>
  <si>
    <t xml:space="preserve">US-13529 · Currier Wildlife Management Area; US-13486 · Bellamy River Wildlife Management Area - East Wildlife Management Area; US-13517 · Richard Sargent Wildlife Management Area</t>
  </si>
  <si>
    <t xml:space="preserve">NH GRANIT: https://nhgeodata.unh.edu/hosting/rest/services/Hosted/EC_Conservation/FeatureServer/6; New Hampshire Fish and Game Department (NHFG : https://services8.arcgis.com/hg1B9Egwk1I5p300/arcgis/rest/services/NHFG_WMA_online/FeatureServer/2</t>
  </si>
  <si>
    <t xml:space="preserve">VT</t>
  </si>
  <si>
    <t xml:space="preserve">Vermont</t>
  </si>
  <si>
    <t xml:space="preserve">US-10299 · South Stream State Wildlife Habitat Management Area; US-10301 · Gale Meadows State Wildlife Habitat Management Area; US-10302 · Atherton Meadows State Wildlife Habitat Management Area</t>
  </si>
  <si>
    <t xml:space="preserve">NM</t>
  </si>
  <si>
    <t xml:space="preserve">New Mexico</t>
  </si>
  <si>
    <t xml:space="preserve">US-12785 · Rio Mora National Wildlife Refuge</t>
  </si>
  <si>
    <t xml:space="preserve">New Mexico Department of Game &amp; Fish: https://services2.arcgis.com/CjbW1bVhK4dB3WOa/arcgis/rest/services/State_Game_Commission_Lands_view/FeatureServer/6</t>
  </si>
  <si>
    <t xml:space="preserve">VA</t>
  </si>
  <si>
    <t xml:space="preserve">Virginia</t>
  </si>
  <si>
    <t xml:space="preserve">US-10015 · Accotink Bay Wildlife Refuge</t>
  </si>
  <si>
    <t xml:space="preserve">State Park</t>
  </si>
  <si>
    <t xml:space="preserve">US-1274 · Blue Licks Battlefield State Resort Park</t>
  </si>
  <si>
    <t xml:space="preserve">KY State Parks boundaries (kygisserver)</t>
  </si>
  <si>
    <t xml:space="preserve">https://kygisserver.ky.gov/arcgis/rest/services/WGS84WM_Services/Ky_State_Parks_Features_WGS84WM/MapServer/0</t>
  </si>
  <si>
    <t xml:space="preserve">trailheads with parking</t>
  </si>
  <si>
    <t xml:space="preserve">PARKING = "Yes" (trailheads); layer 4 = information sites (offices, visitor centers)</t>
  </si>
  <si>
    <t xml:space="preserve">location only (inside the park outline)</t>
  </si>
  <si>
    <t xml:space="preserve">271</t>
  </si>
  <si>
    <t xml:space="preserve">Trailhead · PARKING Yes · TRAIL_NAME …</t>
  </si>
  <si>
    <t xml:space="preserve">https://parks.ky.gov/ (each park's "Park Map" PDF)</t>
  </si>
  <si>
    <t xml:space="preserve">none stated</t>
  </si>
  <si>
    <t xml:space="preserve">There is NO parking-lot layer for KY state parks: trailheads with PARKING=Yes + info sites were used</t>
  </si>
  <si>
    <t xml:space="preserve">US-1139 · Chino Hills State Park; US-1136 · Castle Rock State Park; US-3593 · Wildwood Canyon State Park</t>
  </si>
  <si>
    <t xml:space="preserve">California State Parks: https://services2.arcgis.com/Uq9r85Potqm3MfRV/ArcGIS/rest/services/ParkBoundaries/FeatureServer/0</t>
  </si>
  <si>
    <t xml:space="preserve">US-2001 · Adirondack State Park; US-2153 · Valley Stream State Park; US-2014 · Bethpage State Park</t>
  </si>
  <si>
    <t xml:space="preserve">New York State DEC: https://services6.arcgis.com/DZHaqZm9cxOD4CWM/ArcGIS/rest/services/NYS_DEC_Lands/FeatureServer/0; New York State Parks: https://services.arcgis.com/1xFZPtKn1wKC6POA/ArcGIS/rest/services/NYS_Park_Polygons/FeatureServer/0</t>
  </si>
  <si>
    <t xml:space="preserve">US-3257 · Riverside State Park; US-3216 · Lake Sammamish State Park; US-3261 · Saint Edward State Park</t>
  </si>
  <si>
    <t xml:space="preserve">Washington State Parks: https://services5.arcgis.com/4LKAHwqnBooVDUlX/arcgis/rest/services/ParkBoundaries/FeatureServer/2; Washington State Department of Natural Resour: https://gis.dnr.wa.gov/site3/rest/services/Public_Boundaries/WADNR_PUBLIC_Major_Public_Lands_NonDNR/MapServer/1</t>
  </si>
  <si>
    <t xml:space="preserve">US-1909 · Oscar Scherer State Park; US-1847 · Collier-Seminole State Park; US-1887 · Jonathan Dickinson State Park</t>
  </si>
  <si>
    <t xml:space="preserve">Florida State Parks (DEP): https://ca.dep.state.fl.us/arcgis/rest/services/OpenData/PARKS_BOUNDARIES/MapServer/0; Suwannee River Water Management District: https://services1.arcgis.com/59dBAbzYnRk8johU/arcgis/rest/services/SRWMD_LM_Ownership/FeatureServer/0</t>
  </si>
  <si>
    <t xml:space="preserve">US-2843 · Milo McIver State Park; US-2838 · L.L. Stub Stewart State Park; US-6434 · Champoeg State Park</t>
  </si>
  <si>
    <t xml:space="preserve">Oregon Parks &amp; Recreation Department: https://maps.prd.state.or.us/arcgis/rest/services/Land_ownership/Oregon_State_Parks/FeatureServer/0; Oregon Parks and Recreation Department (AGOL : https://services.arcgis.com/uUvqNMGPm7axC2dD/arcgis/rest/services/OPRD_Rec_Parks_view/FeatureServer/0</t>
  </si>
  <si>
    <t xml:space="preserve">US-1391 · Nockamixon State Park; US-1387 · Moraine State Park; US-1409 · Raccoon Creek State Park</t>
  </si>
  <si>
    <t xml:space="preserve">Pennsylvania DCNR Bureau of State Parks: https://www.gis.dcnr.pa.gov/agsprod/rest/services/Parks/State_Parks/MapServer/9; Pennsylvania State Parks (DCNR): https://conservationexplorer.dcnr.pa.gov/arcgis/rest/services/PA_Public/State_Parks/MapServer/0</t>
  </si>
  <si>
    <t xml:space="preserve">US-1518 · Maybury State Park; US-1511 · Kal-Haven Trail State Park; US-1487 · Belle Isle State Park</t>
  </si>
  <si>
    <t xml:space="preserve">Michigan DNR Parks &amp; Recreation: https://services3.arcgis.com/Jdnp1TjADvSDxMAX/arcgis/rest/services/DNRManagementBoundariesOPENDATA/FeatureServer/8</t>
  </si>
  <si>
    <t xml:space="preserve">US-1728 · Wharton Brook State Park; US-1706 · Penwood State Park; US-1717 · Sleeping Giant State Park</t>
  </si>
  <si>
    <t xml:space="preserve">SD</t>
  </si>
  <si>
    <t xml:space="preserve">South Dakota</t>
  </si>
  <si>
    <t xml:space="preserve">State Recreation Area</t>
  </si>
  <si>
    <t xml:space="preserve">US-8197 · Springfield State Recreation Area; US-8174 · Lewis and Clark State Recreation Area; US-10349 · Sand Creek State Recreation Area</t>
  </si>
  <si>
    <t xml:space="preserve">South Dakota Game, Fish and Parks (gfp.gis.co: https://utility.arcgis.com/usrsvcs/servers/4787d99dcb1f4728b33f89a9eb9ae03e/rest/services/OpenData/SouthDakota_ParksAndRecreationAreas/FeatureServer/0; South Dakota Game, Fish and Parks (gfp.gis.co: https://utility.arcgis.com/usrsvcs/servers/0a01764b6c3b4d13b9af23df1610214b/rest/services/OpenData/SouthDakota_GFPManagedLands/FeatureServer/0</t>
  </si>
  <si>
    <t xml:space="preserve">US-4011 · Chalco Hills State Recreation Area; US-4036 · Walnut Creek State Recreation Area; US-5656 · Flanagan Lake State Recreation Area</t>
  </si>
  <si>
    <t xml:space="preserve">NGPC (owner NGPC.GISAdmin): https://services5.arcgis.com/IOshH1zLrIieqrNk/arcgis/rest/services/NPGCProperties2023_2024/FeatureServer/268</t>
  </si>
  <si>
    <t xml:space="preserve">US-1001 · James Pate Philip State Park; US-1000 · Illinois Beach State Park; US-1024 · Silver Springs State Park</t>
  </si>
  <si>
    <t xml:space="preserve">US-2996 · Cedar Hill State Park; US-3051 · Ray Roberts Lake State Park; US-3038 · McKinney Falls State Park</t>
  </si>
  <si>
    <t xml:space="preserve">Texas Parks &amp; Wildlife Department (state park: https://services1.arcgis.com/1mtXwieMId59thmg/arcgis/rest/services/Texas_State_Parks_Boundaries/FeatureServer/0</t>
  </si>
  <si>
    <t xml:space="preserve">US-1940 · Caesar Creek State Park; US-1937 · Buck Creek State Park; US-1933 · Alum Creek State Park</t>
  </si>
  <si>
    <t xml:space="preserve">Ohio DNR Division of Parks and Watercraft: https://gis.ohiodnr.gov/arcgis/rest/services/OIT_Services/ODNR_ODNR_Lands_Public_nolakes/FeatureServer/5; Ohio DNR: https://gis.ohiodnr.gov/image/rest/services/OIT_Services/ODNR_Basemap_Streets_2018_WM/MapServer/134</t>
  </si>
  <si>
    <t xml:space="preserve">State Recreation Site</t>
  </si>
  <si>
    <t xml:space="preserve">US-7234 · Harding Lake State Recreation Site; US-11834 · Susitna Landing (Kashwitna) State Recreation Site; US-7211 · Finger Lake State Recreation Site</t>
  </si>
  <si>
    <t xml:space="preserve">Alaska State Parks (DNR): https://arcgis.dnr.alaska.gov/arcgis/rest/services/OpenData/Recreational_ParkBoundary/MapServer/2</t>
  </si>
  <si>
    <t xml:space="preserve">US-1091 · Lake Dardanelle State Park; US-1077 · Crowley's Ridge State Park; US-1110 · Pinnacle Mountain State Park</t>
  </si>
  <si>
    <t xml:space="preserve">Arkansas State Parks: https://gis.ardot.gov/hosting/rest/services/Hosted/StateParks/FeatureServer/0; Arkansas Game and Fish Commission (AGOL org 5: https://services.arcgis.com/5bMc8SlGDYGINZr5/arcgis/rest/services/lakes/FeatureServer/11</t>
  </si>
  <si>
    <t xml:space="preserve">US-2482 · Fort Snelling State Park; US-2524 · Split Rock Lighthouse State Park; US-2510 · Minneopa State Park</t>
  </si>
  <si>
    <t xml:space="preserve">Minnesota State Parks (DNR): https://services.arcgis.com/8df8p0NlLFEShl0r/ArcGIS/rest/services/MN_State_Parks_and_Recreation_Areas/FeatureServer/2</t>
  </si>
  <si>
    <t xml:space="preserve">US-5643 · Lower Wisconsin State Riverway State Park; US-1456 · High Cliff State Park; US-1482 · Wyalusing State Park</t>
  </si>
  <si>
    <t xml:space="preserve">Wisconsin DNR: https://dnrmaps.wi.gov/arcgis/rest/services/LF_DML/LF_AGOL_STAGING_WTM_Ext/MapServer/0; Wisconsin State Parks (DNR): https://dnrmaps.wi.gov/arcgis2/rest/services/PR_Recreation/PR_WSPS_Property_Info_WTM_Ext/MapServer/0</t>
  </si>
  <si>
    <t xml:space="preserve">US-2281 · Big Creek State Park; US-2303 · Ledges State Park; US-2299 · Lake Macbride State Park</t>
  </si>
  <si>
    <t xml:space="preserve">Iowa DNR: https://programs.iowadnr.gov/geospatial/rest/services/Recreation/State_Parks_Trails/MapServer/2</t>
  </si>
  <si>
    <t xml:space="preserve">US-2982 · Warriors' Path State Park; US-2940 · Cummins Falls State Park; US-2935 · Cedars of Lebanon State Park</t>
  </si>
  <si>
    <t xml:space="preserve">Tennessee State Parks (TDEC): https://services5.arcgis.com/bPacKTm9cauMXVfn/arcgis/rest/services/TN_State_Parks_Boundaries/FeatureServer/0</t>
  </si>
  <si>
    <t xml:space="preserve">US-1788 · Taum Sauk Mountain State Park; US-1766 · Katy Trail State Park; US-1796 · Weston Bend State Park</t>
  </si>
  <si>
    <t xml:space="preserve">Missouri State Parks (DNR): https://gis.dnr.mo.gov/server/rest/services/parks/Missouri_State_Parks_Boundaries/FeatureServer/0; Missouri Department of Conservation (gisblue.: https://gisblue.mdc.mo.gov/arcgis/rest/services/Discover_Nature/MDC_Administrative_Areas/FeatureServer/5</t>
  </si>
  <si>
    <t xml:space="preserve">US-5683 · Kil-So-Quah State Recreation Area; US-4162 · Mounds on Brookville Lake State Recreation Area; US-4167 · Interlake State Recreation Area</t>
  </si>
  <si>
    <t xml:space="preserve">US-3112 · Elmore State Park; US-3125 · Knight Point State Park; US-3133 · Mount Ascutney State Park</t>
  </si>
  <si>
    <t xml:space="preserve">US-7816 · Henrys Lake Airstrip State Recreation Area; US-7821 · Magic Reservoir Airstrip State Recreation Area; US-7833 · Twin Bridges Airstrip State Recreation Area</t>
  </si>
  <si>
    <t xml:space="preserve">Idaho Department of Fish and Game (Hydrograph: https://services.arcgis.com/FjJI5xHF2dUPVrgK/arcgis/rest/services/Hydrography_Public/FeatureServer/0</t>
  </si>
  <si>
    <t xml:space="preserve">US-2430 · Dighton Rock State Park; US-2435 · Great Brook Farm State Park; US-2446 · Massasoit State Park</t>
  </si>
  <si>
    <t xml:space="preserve">US-1588 · Patapsco Valley State Park; US-1574 · Gathland State Park; US-1604 · Washington Monument State Park</t>
  </si>
  <si>
    <t xml:space="preserve">US-2589 · Missouri Headwaters State Park; US-2598 · Spring Meadow Lake State Park; US-2563 · Brush Lake State Park</t>
  </si>
  <si>
    <t xml:space="preserve">Montana Fish, Wildlife &amp; Parks: https://services3.arcgis.com/Cdxz8r11hT0MGzg1/arcgis/rest/services/FWPLND_STATEPARKS/FeatureServer/0; Montana Fish, Wildlife &amp; Parks: https://services3.arcgis.com/Cdxz8r11hT0MGzg1/arcgis/rest/services/FWPLND_FAS/FeatureServer/0</t>
  </si>
  <si>
    <t xml:space="preserve">US-3080 · Jordanelle State Park; US-3094 · Utah Lake State Park; US-3062 · Antelope Island State Park</t>
  </si>
  <si>
    <t xml:space="preserve">Utah State Parks: https://services.arcgis.com/ZzrwjTRez6FJiOq4/arcgis/rest/services/Utah_State_Park_Management_Areas/FeatureServer/0; Utah Division of Wildlife Resources (AGOL own: https://services.arcgis.com/ZzrwjTRez6FJiOq4/arcgis/rest/services/WMAs_WFL1/FeatureServer/0</t>
  </si>
  <si>
    <t xml:space="preserve">US-2194 · Red Top Mountain State Park; US-2177 · Fort Yargo State Park; US-2171 · Don Carter State Park</t>
  </si>
  <si>
    <t xml:space="preserve">Georgia State Parks (DNR): https://services6.arcgis.com/9QlSLDqa0P1cHLhu/ArcGIS/rest/services/State_Parks_Boundary/FeatureServer/0</t>
  </si>
  <si>
    <t xml:space="preserve">US-2532 · Buccaneer State Park; US-2543 · Lake Lowndes State Park; US-2552 · Tishomingo State Park</t>
  </si>
  <si>
    <t xml:space="preserve">US-2656 · Hampton Beach State Park; US-2658 · Kingston State Park; US-2643 · Bear Brook State Park</t>
  </si>
  <si>
    <t xml:space="preserve">NH GRANIT: https://nhgeodata.unh.edu/hosting/rest/services/Hosted/EC_Conservation/FeatureServer/6</t>
  </si>
  <si>
    <t xml:space="preserve">US-1319 · Smith Mountain Lake State Park; US-1299 · First Landing State Park; US-1297 · Fairy Stone State Park</t>
  </si>
  <si>
    <t xml:space="preserve">Virginia State Parks (DCR): https://services1.arcgis.com/PxUNqSbaWFvFgHnJ/arcgis/rest/services/bclsp_State_Parks/FeatureServer/0; Virginia DCR State Parks (tracts): https://services1.arcgis.com/PxUNqSbaWFvFgHnJ/arcgis/rest/services/SP_Boundary_-_Tracts/FeatureServer/0</t>
  </si>
  <si>
    <t xml:space="preserve">US-2913 · Sesquicentennial State Park; US-2902 · Kings Mountain State Park; US-2900 · Huntington Beach State Park</t>
  </si>
  <si>
    <t xml:space="preserve">South Carolina State Parks (PRT): https://services5.arcgis.com/bPacKTm9cauMXVfn/ArcGIS/rest/services/South_Carolina_State_Parks/FeatureServer/0</t>
  </si>
  <si>
    <t xml:space="preserve">US-1214 · Cheyenne Mountain State Park; US-1210 · Boyd Lake State Park; US-1213 · Cherry Creek State Park</t>
  </si>
  <si>
    <t xml:space="preserve">Colorado Parks &amp; Wildlife: https://gis.colorado.gov/public/rest/services/OIT/Colorado_State_Basemap/MapServer/41</t>
  </si>
  <si>
    <t xml:space="preserve">HI</t>
  </si>
  <si>
    <t xml:space="preserve">Hawaii</t>
  </si>
  <si>
    <t xml:space="preserve">US-2226 · Wailua River State Park; US-2222 · Pu'u 'Ualakaa State Park; US-2209 · Ahupua'a O Kahana State Park</t>
  </si>
  <si>
    <t xml:space="preserve">Hawaii Division of State Parks (DLNR): https://geodata.hawaii.gov/arcgis/rest/services/Infrastructure/MapServer/16; Hawaii State Parks (DLNR): https://services.arcgis.com/HQ0xoN0EzDPBOEci/ArcGIS/rest/services/State_Park_Boundaries/FeatureServer/0</t>
  </si>
  <si>
    <t xml:space="preserve">US-2726 · Crowders Mountain State Park; US-2723 · Carvers Creek State Park; US-2740 · Lake Norman State Park</t>
  </si>
  <si>
    <t xml:space="preserve">US-2413 · Vaughan Woods State Park; US-2383 · Bradbury Mountain State Park; US-2395 · Mackworth Island State Park</t>
  </si>
  <si>
    <t xml:space="preserve">US-2790 · Lake Murray State Park; US-2792 · Lake Thunderbird State Park; US-2788 · Keystone State Park</t>
  </si>
  <si>
    <t xml:space="preserve">Oklahoma State Parks (ODOT GIS): https://services6.arcgis.com/RBtoEUQ2lmN0K3GY/arcgis/rest/services/OklahomaRecreationalAreas/FeatureServer/3</t>
  </si>
  <si>
    <t xml:space="preserve">US-1810 · Chief Logan State Park; US-1800 · Beech Fork State Park; US-0629 · Tomlinson Run State Park</t>
  </si>
  <si>
    <t xml:space="preserve">West Virginia State Parks (WVDOT boundaries s: https://gis.transportation.wv.gov/arcgis/rest/services/Boundaries/MapServer/10</t>
  </si>
  <si>
    <t xml:space="preserve">US-1611 · Cheesequake State Park; US-6462 · Garret Mountain Reservation State Park; US-1623 · Liberty State Park</t>
  </si>
  <si>
    <t xml:space="preserve">US-2709 · Oliver Lee Memorial State Park; US-2710 · Pancho Villa State Park; US-2697 · Elephant Butte Lake State Park</t>
  </si>
  <si>
    <t xml:space="preserve">NM EMNRD State Parks data, hosted in the Stat: https://services7.arcgis.com/fdxAYNZ9OCyQZXdN/arcgis/rest/services/NM_State_Parks/FeatureServer/0</t>
  </si>
  <si>
    <t xml:space="preserve">US-2635 · Spring Mountain Ranch State Park; US-2640 · Washoe Lake State Park; US-2637 · Valley of Fire State Park</t>
  </si>
  <si>
    <t xml:space="preserve">Nevada outdoor recreation areas (NV Division : https://arcgis.water.nv.gov/arcgis/rest/services/Hosted/SCORPRecAreas_Master/FeatureServer/0; Nevada Division of State Parks (AGOL org owne: https://services7.arcgis.com/5hLFVlePaucIMGhw/arcgis/rest/services/VS_Boundary_Map_2_WFL1/FeatureServer/2</t>
  </si>
  <si>
    <t xml:space="preserve">US-2868 · Beavertail State Park; US-2876 · Goddard Memorial State Park; US-2872 · Colt State Park</t>
  </si>
  <si>
    <t xml:space="preserve">US-2332 · Clinton State Park; US-2331 · Cheney State Park; US-2336 · El Dorado State Park</t>
  </si>
  <si>
    <t xml:space="preserve">Kansas Wildlife &amp; Parks (state park areas, KD: https://kanplan.ksdot.gov/arcgis_web_adaptor/rest/services/Boundaries/State_Park_Area/MapServer/0; KDWPT (owner jjones_KDWPT; KS Natural Heritag: https://services1.arcgis.com/q2CglofYX6ACNEeu/arcgis/rest/services/protected_areas/FeatureServer/0</t>
  </si>
  <si>
    <t xml:space="preserve">US-1055 · Catalina State Park; US-1065 · Picacho Peak State Park; US-1061 · Lost Dutchman State Park</t>
  </si>
  <si>
    <t xml:space="preserve">Arizona State Parks &amp; Trails: https://services6.arcgis.com/clPWQMwZfdWn4MQZ/ArcGIS/rest/services/AZ_State_Parks_Boundary/FeatureServer/0; Arizona Game and Fish Department (AZGFD_GIS o: https://services2.arcgis.com/os1CphwIyxBDDUGn/arcgis/rest/services/Hatchery_Polys/FeatureServer/0</t>
  </si>
  <si>
    <t xml:space="preserve">US-1048 · Monte Sano State Park; US-1042 · Gulf State Park; US-1049 · Oak Mountain State Park</t>
  </si>
  <si>
    <t xml:space="preserve">Alabama State Parks (ADCNR): https://conservationgis.alabama.gov/adcnrweb/rest/services/StateParks/MapServer/0</t>
  </si>
  <si>
    <t xml:space="preserve">US-2372 · Palmetto Island State Park; US-2369 · Lake D'Arbonne State Park; US-2362 · Fontainebleau State Park</t>
  </si>
  <si>
    <t xml:space="preserve">US-1743 · White Clay Creek State Park; US-1741 · Lums Pond State Park; US-1732 · Brandywine Creek State Park</t>
  </si>
  <si>
    <t xml:space="preserve">Delaware DNREC: https://enterprise.firstmap.delaware.gov/arcgis/rest/services/Society/DE_State_Lands/FeatureServer/0; Delaware public protected lands (DNREC): https://enterprise.firstmap.delaware.gov/arcgis/rest/services/Environmental/DE_Protected_Natural_Resources/MapServer/11</t>
  </si>
  <si>
    <t xml:space="preserve">US-2768 · Turtle River State Park; US-2759 · Fort Ransom State Park; US-2758 · Fort Abraham Lincoln State Park</t>
  </si>
  <si>
    <t xml:space="preserve">North Dakota Parks &amp; Recreation: https://services1.arcgis.com/GOcSXpzwBHyk2nog/arcgis/rest/services/NDGISHUB_State_Parks/FeatureServer/0</t>
  </si>
  <si>
    <t xml:space="preserve">US-3295 · Curt Gowdy State Park; US-3292 · Bear River State Park; US-3297 · Glendo State Park</t>
  </si>
  <si>
    <t xml:space="preserve">Wyoming State Parks: https://services6.arcgis.com/cWzdqIyxbijuhPLw/arcgis/rest/services/WyomingStateParks/FeatureServer/0; Wyoming State Parks, Historic Sites &amp; Trails: https://services1.arcgis.com/WOPmQY9FJsLgGOzw/arcgis/rest/services/SiteBoundaries/FeatureServer/0</t>
  </si>
  <si>
    <t xml:space="preserve">Program (WMA / State park)</t>
  </si>
  <si>
    <t xml:space="preserve">Layer address</t>
  </si>
  <si>
    <t xml:space="preserve">Point types</t>
  </si>
  <si>
    <t xml:space="preserve">Type field</t>
  </si>
  <si>
    <t xml:space="preserve">Values that mean parking / entrance</t>
  </si>
  <si>
    <t xml:space="preserve">Area name field</t>
  </si>
  <si>
    <t xml:space="preserve">Count</t>
  </si>
  <si>
    <t xml:space="preserve">Tested</t>
  </si>
  <si>
    <t xml:space="preserve">Licence</t>
  </si>
  <si>
    <t xml:space="preserve">Notes</t>
  </si>
  <si>
    <t xml:space="preserve">WMA</t>
  </si>
  <si>
    <t xml:space="preserve">points</t>
  </si>
  <si>
    <t xml:space="preserve">Type</t>
  </si>
  <si>
    <t xml:space="preserve">Parking Lot; Gate; Information Kiosk; Boat Ramp</t>
  </si>
  <si>
    <t xml:space="preserve">Kentucky Dept. of Fish &amp; Wildlife Resources</t>
  </si>
  <si>
    <t xml:space="preserve">What Kentucky has (the model)</t>
  </si>
  <si>
    <t xml:space="preserve">Agency</t>
  </si>
  <si>
    <t xml:space="preserve">What it gives</t>
  </si>
  <si>
    <t xml:space="preserve">WMA map points</t>
  </si>
  <si>
    <t xml:space="preserve">KDFWR</t>
  </si>
  <si>
    <t xml:space="preserve">1,716 points: parking lots, kiosks, gates, boat ramps, by WMANAME</t>
  </si>
  <si>
    <t xml:space="preserve">WMA entrances</t>
  </si>
  <si>
    <t xml:space="preserve">KDFWR (WMA Explorer)</t>
  </si>
  <si>
    <t xml:space="preserve">https://services5.arcgis.com/RMHPuOW5MJ6iyTV6/arcgis/rest/services/public_hunting_areas_service/FeatureServer/0</t>
  </si>
  <si>
    <t xml:space="preserve">129 entrances, by AREANAME</t>
  </si>
  <si>
    <t xml:space="preserve">WMA parking lots + kiosks</t>
  </si>
  <si>
    <t xml:space="preserve">https://services5.arcgis.com/RMHPuOW5MJ6iyTV6/arcgis/rest/services/public_hunting_areas_service/FeatureServer/1</t>
  </si>
  <si>
    <t xml:space="preserve">562 points, by WMANAME, Type Parking Lot / Information Kiosk</t>
  </si>
  <si>
    <t xml:space="preserve">Fishing access sites</t>
  </si>
  <si>
    <t xml:space="preserve">https://services5.arcgis.com/RMHPuOW5MJ6iyTV6/arcgis/rest/services/Fishing_Access_Sites/FeatureServer/0</t>
  </si>
  <si>
    <t xml:space="preserve">1,146 boat ramps / bank access / carry-down</t>
  </si>
  <si>
    <t xml:space="preserve">State park trailheads + info sites</t>
  </si>
  <si>
    <t xml:space="preserve">KY State Parks (state GIS)</t>
  </si>
  <si>
    <t xml:space="preserve">https://kygisserver.ky.gov/arcgis/rest/services/WGS84WM_Services/Ky_State_Parks_Features_WGS84WM/MapServer</t>
  </si>
  <si>
    <t xml:space="preserve">trailheads with PARKING yes/no, offices, visitor centers, lodges</t>
  </si>
  <si>
    <t xml:space="preserve">Federal trailheads</t>
  </si>
  <si>
    <t xml:space="preserve">USFS via KY GIS</t>
  </si>
  <si>
    <t xml:space="preserve">https://kygisserver.ky.gov/arcgis/rest/services/WGS84WM_Services/Ky_Federal_Trailheads_WGS84WM/MapServer</t>
  </si>
  <si>
    <t xml:space="preserve">33 Forest Service trailheads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</si>
</sst>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7F6000"/>
        <bgColor rgb="FF9933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23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23.2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23.2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23.2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23.2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6"/>
  </cols>
  <sheetData>
    <row r="1" customFormat="false" ht="26.2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</row>
    <row r="2" customFormat="false" ht="15" hidden="false" customHeight="true" outlineLevel="0" collapsed="false">
      <c r="A2" s="6" t="s">
        <v>23</v>
      </c>
      <c r="B2" s="6" t="n">
        <f aca="false">SUM('WMA access'!C3:C200)</f>
        <v>4034</v>
      </c>
      <c r="C2" s="6" t="n">
        <f aca="false">COUNTA('WMA access'!A3:A200)</f>
        <v>47</v>
      </c>
      <c r="D2" s="6" t="n">
        <f aca="false">COUNTIF('WMA access'!G3:G200,"?*")</f>
        <v>0</v>
      </c>
    </row>
    <row r="3" customFormat="false" ht="15" hidden="false" customHeight="true" outlineLevel="0" collapsed="false">
      <c r="A3" s="6" t="s">
        <v>24</v>
      </c>
      <c r="B3" s="6" t="n">
        <f aca="false">SUM('State park access'!C3:C200)</f>
        <v>3261</v>
      </c>
      <c r="C3" s="6" t="n">
        <f aca="false">COUNTA('State park access'!A3:A200)</f>
        <v>49</v>
      </c>
      <c r="D3" s="6" t="n">
        <f aca="false">COUNTIF('State park access'!G3:G200,"?*")</f>
        <v>0</v>
      </c>
    </row>
    <row r="5" customFormat="false" ht="15" hidden="false" customHeight="true" outlineLevel="0" collapsed="false">
      <c r="A5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42"/>
    <col collapsed="false" customWidth="true" hidden="false" outlineLevel="0" max="7" min="6" style="1" width="46"/>
    <col collapsed="false" customWidth="true" hidden="false" outlineLevel="0" max="8" min="8" style="1" width="22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8"/>
    <col collapsed="false" customWidth="true" hidden="false" outlineLevel="0" max="12" min="12" style="1" width="30"/>
    <col collapsed="false" customWidth="true" hidden="false" outlineLevel="0" max="13" min="13" style="1" width="26"/>
    <col collapsed="false" customWidth="true" hidden="false" outlineLevel="0" max="14" min="14" style="1" width="11"/>
    <col collapsed="false" customWidth="true" hidden="false" outlineLevel="0" max="15" min="15" style="1" width="22"/>
    <col collapsed="false" customWidth="true" hidden="false" outlineLevel="0" max="16" min="16" style="1" width="30"/>
  </cols>
  <sheetData>
    <row r="1" customFormat="false" ht="51.7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41</v>
      </c>
    </row>
    <row r="2" customFormat="false" ht="42.75" hidden="false" customHeight="true" outlineLevel="0" collapsed="false">
      <c r="A2" s="9" t="s">
        <v>42</v>
      </c>
      <c r="B2" s="9" t="s">
        <v>43</v>
      </c>
      <c r="C2" s="9" t="n">
        <v>79</v>
      </c>
      <c r="D2" s="9" t="s">
        <v>44</v>
      </c>
      <c r="E2" s="9" t="s">
        <v>45</v>
      </c>
      <c r="F2" s="9" t="s">
        <v>46</v>
      </c>
      <c r="G2" s="9" t="s">
        <v>47</v>
      </c>
      <c r="H2" s="9" t="s">
        <v>48</v>
      </c>
      <c r="I2" s="9" t="s">
        <v>49</v>
      </c>
      <c r="J2" s="9" t="s">
        <v>50</v>
      </c>
      <c r="K2" s="9" t="s">
        <v>51</v>
      </c>
      <c r="L2" s="9" t="s">
        <v>52</v>
      </c>
      <c r="M2" s="9" t="s">
        <v>53</v>
      </c>
      <c r="N2" s="9" t="s">
        <v>54</v>
      </c>
      <c r="O2" s="9" t="s">
        <v>55</v>
      </c>
      <c r="P2" s="9" t="s">
        <v>56</v>
      </c>
    </row>
    <row r="3" customFormat="false" ht="32.25" hidden="false" customHeight="true" outlineLevel="0" collapsed="false">
      <c r="A3" s="10" t="s">
        <v>57</v>
      </c>
      <c r="B3" s="10" t="s">
        <v>58</v>
      </c>
      <c r="C3" s="10" t="n">
        <v>395</v>
      </c>
      <c r="D3" s="10" t="s">
        <v>59</v>
      </c>
      <c r="E3" s="10" t="s">
        <v>60</v>
      </c>
      <c r="F3" s="10" t="s">
        <v>61</v>
      </c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32.25" hidden="false" customHeight="true" outlineLevel="0" collapsed="false">
      <c r="A4" s="10" t="s">
        <v>62</v>
      </c>
      <c r="B4" s="10" t="s">
        <v>63</v>
      </c>
      <c r="C4" s="10" t="n">
        <v>319</v>
      </c>
      <c r="D4" s="10" t="s">
        <v>64</v>
      </c>
      <c r="E4" s="10" t="s">
        <v>65</v>
      </c>
      <c r="F4" s="10" t="s">
        <v>66</v>
      </c>
      <c r="G4" s="11"/>
      <c r="H4" s="11"/>
      <c r="I4" s="11"/>
      <c r="J4" s="11"/>
      <c r="K4" s="11"/>
      <c r="L4" s="11"/>
      <c r="M4" s="11"/>
      <c r="N4" s="11"/>
      <c r="O4" s="11"/>
      <c r="P4" s="11"/>
    </row>
    <row r="5" customFormat="false" ht="74.25" hidden="false" customHeight="true" outlineLevel="0" collapsed="false">
      <c r="A5" s="10" t="s">
        <v>67</v>
      </c>
      <c r="B5" s="10" t="s">
        <v>68</v>
      </c>
      <c r="C5" s="10" t="n">
        <v>221</v>
      </c>
      <c r="D5" s="10" t="s">
        <v>44</v>
      </c>
      <c r="E5" s="10" t="s">
        <v>69</v>
      </c>
      <c r="F5" s="10" t="s">
        <v>70</v>
      </c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false" ht="74.25" hidden="false" customHeight="true" outlineLevel="0" collapsed="false">
      <c r="A6" s="10" t="s">
        <v>71</v>
      </c>
      <c r="B6" s="10" t="s">
        <v>72</v>
      </c>
      <c r="C6" s="10" t="n">
        <v>207</v>
      </c>
      <c r="D6" s="10" t="s">
        <v>59</v>
      </c>
      <c r="E6" s="10" t="s">
        <v>73</v>
      </c>
      <c r="F6" s="10" t="s">
        <v>74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63.75" hidden="false" customHeight="true" outlineLevel="0" collapsed="false">
      <c r="A7" s="10" t="s">
        <v>75</v>
      </c>
      <c r="B7" s="10" t="s">
        <v>76</v>
      </c>
      <c r="C7" s="10" t="n">
        <v>197</v>
      </c>
      <c r="D7" s="10" t="s">
        <v>77</v>
      </c>
      <c r="E7" s="10" t="s">
        <v>78</v>
      </c>
      <c r="F7" s="10" t="s">
        <v>79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32.25" hidden="false" customHeight="true" outlineLevel="0" collapsed="false">
      <c r="A8" s="10" t="s">
        <v>80</v>
      </c>
      <c r="B8" s="10" t="s">
        <v>81</v>
      </c>
      <c r="C8" s="10" t="n">
        <v>192</v>
      </c>
      <c r="D8" s="10" t="s">
        <v>64</v>
      </c>
      <c r="E8" s="10" t="s">
        <v>82</v>
      </c>
      <c r="F8" s="10" t="s">
        <v>83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74.25" hidden="false" customHeight="true" outlineLevel="0" collapsed="false">
      <c r="A9" s="10" t="s">
        <v>84</v>
      </c>
      <c r="B9" s="10" t="s">
        <v>85</v>
      </c>
      <c r="C9" s="10" t="n">
        <v>163</v>
      </c>
      <c r="D9" s="10" t="s">
        <v>77</v>
      </c>
      <c r="E9" s="10" t="s">
        <v>86</v>
      </c>
      <c r="F9" s="10" t="s">
        <v>87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63.75" hidden="false" customHeight="true" outlineLevel="0" collapsed="false">
      <c r="A10" s="10" t="s">
        <v>88</v>
      </c>
      <c r="B10" s="10" t="s">
        <v>89</v>
      </c>
      <c r="C10" s="10" t="n">
        <v>152</v>
      </c>
      <c r="D10" s="10" t="s">
        <v>77</v>
      </c>
      <c r="E10" s="10" t="s">
        <v>90</v>
      </c>
      <c r="F10" s="10" t="s">
        <v>91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customFormat="false" ht="63.75" hidden="false" customHeight="true" outlineLevel="0" collapsed="false">
      <c r="A11" s="10" t="s">
        <v>92</v>
      </c>
      <c r="B11" s="10" t="s">
        <v>93</v>
      </c>
      <c r="C11" s="10" t="n">
        <v>121</v>
      </c>
      <c r="D11" s="10" t="s">
        <v>94</v>
      </c>
      <c r="E11" s="10" t="s">
        <v>95</v>
      </c>
      <c r="F11" s="10" t="s">
        <v>96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32.25" hidden="false" customHeight="true" outlineLevel="0" collapsed="false">
      <c r="A12" s="10" t="s">
        <v>97</v>
      </c>
      <c r="B12" s="10" t="s">
        <v>98</v>
      </c>
      <c r="C12" s="10" t="n">
        <v>121</v>
      </c>
      <c r="D12" s="10" t="s">
        <v>44</v>
      </c>
      <c r="E12" s="10" t="s">
        <v>99</v>
      </c>
      <c r="F12" s="10" t="s">
        <v>100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63.75" hidden="false" customHeight="true" outlineLevel="0" collapsed="false">
      <c r="A13" s="10" t="s">
        <v>101</v>
      </c>
      <c r="B13" s="10" t="s">
        <v>102</v>
      </c>
      <c r="C13" s="10" t="n">
        <v>117</v>
      </c>
      <c r="D13" s="10" t="s">
        <v>44</v>
      </c>
      <c r="E13" s="10" t="s">
        <v>103</v>
      </c>
      <c r="F13" s="10" t="s">
        <v>104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customFormat="false" ht="74.25" hidden="false" customHeight="true" outlineLevel="0" collapsed="false">
      <c r="A14" s="10" t="s">
        <v>105</v>
      </c>
      <c r="B14" s="10" t="s">
        <v>106</v>
      </c>
      <c r="C14" s="10" t="n">
        <v>113</v>
      </c>
      <c r="D14" s="10" t="s">
        <v>44</v>
      </c>
      <c r="E14" s="10" t="s">
        <v>107</v>
      </c>
      <c r="F14" s="10" t="s">
        <v>108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customFormat="false" ht="32.25" hidden="false" customHeight="true" outlineLevel="0" collapsed="false">
      <c r="A15" s="10" t="s">
        <v>109</v>
      </c>
      <c r="B15" s="10" t="s">
        <v>110</v>
      </c>
      <c r="C15" s="10" t="n">
        <v>109</v>
      </c>
      <c r="D15" s="10" t="s">
        <v>44</v>
      </c>
      <c r="E15" s="10" t="s">
        <v>111</v>
      </c>
      <c r="F15" s="10" t="s">
        <v>112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customFormat="false" ht="63.75" hidden="false" customHeight="true" outlineLevel="0" collapsed="false">
      <c r="A16" s="10" t="s">
        <v>113</v>
      </c>
      <c r="B16" s="10" t="s">
        <v>114</v>
      </c>
      <c r="C16" s="10" t="n">
        <v>107</v>
      </c>
      <c r="D16" s="10" t="s">
        <v>77</v>
      </c>
      <c r="E16" s="10" t="s">
        <v>115</v>
      </c>
      <c r="F16" s="10" t="s">
        <v>116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false" ht="32.25" hidden="false" customHeight="true" outlineLevel="0" collapsed="false">
      <c r="A17" s="10" t="s">
        <v>117</v>
      </c>
      <c r="B17" s="10" t="s">
        <v>118</v>
      </c>
      <c r="C17" s="10" t="n">
        <v>101</v>
      </c>
      <c r="D17" s="10" t="s">
        <v>64</v>
      </c>
      <c r="E17" s="10" t="s">
        <v>119</v>
      </c>
      <c r="F17" s="10" t="s">
        <v>120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false" ht="42.75" hidden="false" customHeight="true" outlineLevel="0" collapsed="false">
      <c r="A18" s="10" t="s">
        <v>121</v>
      </c>
      <c r="B18" s="10" t="s">
        <v>122</v>
      </c>
      <c r="C18" s="10" t="n">
        <v>98</v>
      </c>
      <c r="D18" s="10" t="s">
        <v>44</v>
      </c>
      <c r="E18" s="10" t="s">
        <v>123</v>
      </c>
      <c r="F18" s="10" t="s">
        <v>124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customFormat="false" ht="32.25" hidden="false" customHeight="true" outlineLevel="0" collapsed="false">
      <c r="A19" s="10" t="s">
        <v>125</v>
      </c>
      <c r="B19" s="10" t="s">
        <v>126</v>
      </c>
      <c r="C19" s="10" t="n">
        <v>98</v>
      </c>
      <c r="D19" s="10" t="s">
        <v>44</v>
      </c>
      <c r="E19" s="10" t="s">
        <v>127</v>
      </c>
      <c r="F19" s="10" t="s">
        <v>128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customFormat="false" ht="32.25" hidden="false" customHeight="true" outlineLevel="0" collapsed="false">
      <c r="A20" s="10" t="s">
        <v>129</v>
      </c>
      <c r="B20" s="10" t="s">
        <v>130</v>
      </c>
      <c r="C20" s="10" t="n">
        <v>85</v>
      </c>
      <c r="D20" s="10" t="s">
        <v>44</v>
      </c>
      <c r="E20" s="10" t="s">
        <v>131</v>
      </c>
      <c r="F20" s="10" t="s">
        <v>132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customFormat="false" ht="63.75" hidden="false" customHeight="true" outlineLevel="0" collapsed="false">
      <c r="A21" s="10" t="s">
        <v>133</v>
      </c>
      <c r="B21" s="10" t="s">
        <v>134</v>
      </c>
      <c r="C21" s="10" t="n">
        <v>81</v>
      </c>
      <c r="D21" s="10" t="s">
        <v>44</v>
      </c>
      <c r="E21" s="10" t="s">
        <v>135</v>
      </c>
      <c r="F21" s="10" t="s">
        <v>136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customFormat="false" ht="42.75" hidden="false" customHeight="true" outlineLevel="0" collapsed="false">
      <c r="A22" s="10" t="s">
        <v>137</v>
      </c>
      <c r="B22" s="10" t="s">
        <v>138</v>
      </c>
      <c r="C22" s="10" t="n">
        <v>80</v>
      </c>
      <c r="D22" s="10" t="s">
        <v>44</v>
      </c>
      <c r="E22" s="10" t="s">
        <v>139</v>
      </c>
      <c r="F22" s="10" t="s">
        <v>140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customFormat="false" ht="42.75" hidden="false" customHeight="true" outlineLevel="0" collapsed="false">
      <c r="A23" s="10" t="s">
        <v>141</v>
      </c>
      <c r="B23" s="10" t="s">
        <v>142</v>
      </c>
      <c r="C23" s="10" t="n">
        <v>66</v>
      </c>
      <c r="D23" s="10" t="s">
        <v>44</v>
      </c>
      <c r="E23" s="10" t="s">
        <v>143</v>
      </c>
      <c r="F23" s="10" t="s">
        <v>144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customFormat="false" ht="84.75" hidden="false" customHeight="true" outlineLevel="0" collapsed="false">
      <c r="A24" s="10" t="s">
        <v>145</v>
      </c>
      <c r="B24" s="10" t="s">
        <v>146</v>
      </c>
      <c r="C24" s="10" t="n">
        <v>64</v>
      </c>
      <c r="D24" s="10" t="s">
        <v>44</v>
      </c>
      <c r="E24" s="10" t="s">
        <v>147</v>
      </c>
      <c r="F24" s="10" t="s">
        <v>148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customFormat="false" ht="63.75" hidden="false" customHeight="true" outlineLevel="0" collapsed="false">
      <c r="A25" s="10" t="s">
        <v>149</v>
      </c>
      <c r="B25" s="10" t="s">
        <v>150</v>
      </c>
      <c r="C25" s="10" t="n">
        <v>64</v>
      </c>
      <c r="D25" s="10" t="s">
        <v>44</v>
      </c>
      <c r="E25" s="10" t="s">
        <v>151</v>
      </c>
      <c r="F25" s="10" t="s">
        <v>152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customFormat="false" ht="42.75" hidden="false" customHeight="true" outlineLevel="0" collapsed="false">
      <c r="A26" s="10" t="s">
        <v>153</v>
      </c>
      <c r="B26" s="10" t="s">
        <v>154</v>
      </c>
      <c r="C26" s="10" t="n">
        <v>62</v>
      </c>
      <c r="D26" s="10" t="s">
        <v>44</v>
      </c>
      <c r="E26" s="10" t="s">
        <v>155</v>
      </c>
      <c r="F26" s="10" t="s">
        <v>156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customFormat="false" ht="42.75" hidden="false" customHeight="true" outlineLevel="0" collapsed="false">
      <c r="A27" s="10" t="s">
        <v>157</v>
      </c>
      <c r="B27" s="10" t="s">
        <v>158</v>
      </c>
      <c r="C27" s="10" t="n">
        <v>62</v>
      </c>
      <c r="D27" s="10" t="s">
        <v>44</v>
      </c>
      <c r="E27" s="10" t="s">
        <v>159</v>
      </c>
      <c r="F27" s="10" t="s">
        <v>160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customFormat="false" ht="63.75" hidden="false" customHeight="true" outlineLevel="0" collapsed="false">
      <c r="A28" s="10" t="s">
        <v>161</v>
      </c>
      <c r="B28" s="10" t="s">
        <v>162</v>
      </c>
      <c r="C28" s="10" t="n">
        <v>61</v>
      </c>
      <c r="D28" s="10" t="s">
        <v>44</v>
      </c>
      <c r="E28" s="10" t="s">
        <v>163</v>
      </c>
      <c r="F28" s="10" t="s">
        <v>164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customFormat="false" ht="42.75" hidden="false" customHeight="true" outlineLevel="0" collapsed="false">
      <c r="A29" s="10" t="s">
        <v>165</v>
      </c>
      <c r="B29" s="10" t="s">
        <v>166</v>
      </c>
      <c r="C29" s="10" t="n">
        <v>60</v>
      </c>
      <c r="D29" s="10" t="s">
        <v>44</v>
      </c>
      <c r="E29" s="10" t="s">
        <v>167</v>
      </c>
      <c r="F29" s="10" t="s">
        <v>168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customFormat="false" ht="32.25" hidden="false" customHeight="true" outlineLevel="0" collapsed="false">
      <c r="A30" s="10" t="s">
        <v>169</v>
      </c>
      <c r="B30" s="10" t="s">
        <v>170</v>
      </c>
      <c r="C30" s="10" t="n">
        <v>58</v>
      </c>
      <c r="D30" s="10" t="s">
        <v>44</v>
      </c>
      <c r="E30" s="10" t="s">
        <v>171</v>
      </c>
      <c r="F30" s="10" t="s">
        <v>172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customFormat="false" ht="32.25" hidden="false" customHeight="true" outlineLevel="0" collapsed="false">
      <c r="A31" s="10" t="s">
        <v>173</v>
      </c>
      <c r="B31" s="10" t="s">
        <v>174</v>
      </c>
      <c r="C31" s="10" t="n">
        <v>54</v>
      </c>
      <c r="D31" s="10" t="s">
        <v>44</v>
      </c>
      <c r="E31" s="10" t="s">
        <v>175</v>
      </c>
      <c r="F31" s="10" t="s">
        <v>176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customFormat="false" ht="42.75" hidden="false" customHeight="true" outlineLevel="0" collapsed="false">
      <c r="A32" s="10" t="s">
        <v>177</v>
      </c>
      <c r="B32" s="10" t="s">
        <v>178</v>
      </c>
      <c r="C32" s="10" t="n">
        <v>53</v>
      </c>
      <c r="D32" s="10" t="s">
        <v>94</v>
      </c>
      <c r="E32" s="10" t="s">
        <v>179</v>
      </c>
      <c r="F32" s="10" t="s">
        <v>176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customFormat="false" ht="74.25" hidden="false" customHeight="true" outlineLevel="0" collapsed="false">
      <c r="A33" s="10" t="s">
        <v>180</v>
      </c>
      <c r="B33" s="10" t="s">
        <v>181</v>
      </c>
      <c r="C33" s="10" t="n">
        <v>52</v>
      </c>
      <c r="D33" s="10" t="s">
        <v>44</v>
      </c>
      <c r="E33" s="10" t="s">
        <v>182</v>
      </c>
      <c r="F33" s="10" t="s">
        <v>183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customFormat="false" ht="63.75" hidden="false" customHeight="true" outlineLevel="0" collapsed="false">
      <c r="A34" s="10" t="s">
        <v>184</v>
      </c>
      <c r="B34" s="10" t="s">
        <v>185</v>
      </c>
      <c r="C34" s="10" t="n">
        <v>51</v>
      </c>
      <c r="D34" s="10" t="s">
        <v>186</v>
      </c>
      <c r="E34" s="10" t="s">
        <v>187</v>
      </c>
      <c r="F34" s="10" t="s">
        <v>188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customFormat="false" ht="63.75" hidden="false" customHeight="true" outlineLevel="0" collapsed="false">
      <c r="A35" s="10" t="s">
        <v>189</v>
      </c>
      <c r="B35" s="10" t="s">
        <v>190</v>
      </c>
      <c r="C35" s="10" t="n">
        <v>37</v>
      </c>
      <c r="D35" s="10" t="s">
        <v>44</v>
      </c>
      <c r="E35" s="10" t="s">
        <v>191</v>
      </c>
      <c r="F35" s="10" t="s">
        <v>192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customFormat="false" ht="63.75" hidden="false" customHeight="true" outlineLevel="0" collapsed="false">
      <c r="A36" s="10" t="s">
        <v>193</v>
      </c>
      <c r="B36" s="10" t="s">
        <v>194</v>
      </c>
      <c r="C36" s="10" t="n">
        <v>34</v>
      </c>
      <c r="D36" s="10" t="s">
        <v>77</v>
      </c>
      <c r="E36" s="10" t="s">
        <v>195</v>
      </c>
      <c r="F36" s="10" t="s">
        <v>196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32.25" hidden="false" customHeight="true" outlineLevel="0" collapsed="false">
      <c r="A37" s="10" t="s">
        <v>197</v>
      </c>
      <c r="B37" s="10" t="s">
        <v>198</v>
      </c>
      <c r="C37" s="10" t="n">
        <v>33</v>
      </c>
      <c r="D37" s="10" t="s">
        <v>94</v>
      </c>
      <c r="E37" s="10" t="s">
        <v>199</v>
      </c>
      <c r="F37" s="10" t="s">
        <v>200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customFormat="false" ht="32.25" hidden="false" customHeight="true" outlineLevel="0" collapsed="false">
      <c r="A38" s="10" t="s">
        <v>201</v>
      </c>
      <c r="B38" s="10" t="s">
        <v>202</v>
      </c>
      <c r="C38" s="10" t="n">
        <v>24</v>
      </c>
      <c r="D38" s="10" t="s">
        <v>59</v>
      </c>
      <c r="E38" s="10" t="s">
        <v>203</v>
      </c>
      <c r="F38" s="10" t="s">
        <v>204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customFormat="false" ht="42.75" hidden="false" customHeight="true" outlineLevel="0" collapsed="false">
      <c r="A39" s="10" t="s">
        <v>205</v>
      </c>
      <c r="B39" s="10" t="s">
        <v>206</v>
      </c>
      <c r="C39" s="10" t="n">
        <v>22</v>
      </c>
      <c r="D39" s="10" t="s">
        <v>94</v>
      </c>
      <c r="E39" s="10" t="s">
        <v>207</v>
      </c>
      <c r="F39" s="10" t="s">
        <v>208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customFormat="false" ht="74.25" hidden="false" customHeight="true" outlineLevel="0" collapsed="false">
      <c r="A40" s="10" t="s">
        <v>209</v>
      </c>
      <c r="B40" s="10" t="s">
        <v>210</v>
      </c>
      <c r="C40" s="10" t="n">
        <v>21</v>
      </c>
      <c r="D40" s="10" t="s">
        <v>77</v>
      </c>
      <c r="E40" s="10" t="s">
        <v>211</v>
      </c>
      <c r="F40" s="10" t="s">
        <v>212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customFormat="false" ht="63.75" hidden="false" customHeight="true" outlineLevel="0" collapsed="false">
      <c r="A41" s="10" t="s">
        <v>213</v>
      </c>
      <c r="B41" s="10" t="s">
        <v>214</v>
      </c>
      <c r="C41" s="10" t="n">
        <v>18</v>
      </c>
      <c r="D41" s="10" t="s">
        <v>77</v>
      </c>
      <c r="E41" s="10" t="s">
        <v>215</v>
      </c>
      <c r="F41" s="10" t="s">
        <v>216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customFormat="false" ht="63.75" hidden="false" customHeight="true" outlineLevel="0" collapsed="false">
      <c r="A42" s="10" t="s">
        <v>217</v>
      </c>
      <c r="B42" s="10" t="s">
        <v>218</v>
      </c>
      <c r="C42" s="10" t="n">
        <v>17</v>
      </c>
      <c r="D42" s="10" t="s">
        <v>44</v>
      </c>
      <c r="E42" s="10" t="s">
        <v>219</v>
      </c>
      <c r="F42" s="10" t="s">
        <v>220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customFormat="false" ht="63.75" hidden="false" customHeight="true" outlineLevel="0" collapsed="false">
      <c r="A43" s="10" t="s">
        <v>221</v>
      </c>
      <c r="B43" s="10" t="s">
        <v>222</v>
      </c>
      <c r="C43" s="10" t="n">
        <v>12</v>
      </c>
      <c r="D43" s="10" t="s">
        <v>44</v>
      </c>
      <c r="E43" s="10" t="s">
        <v>223</v>
      </c>
      <c r="F43" s="10" t="s">
        <v>224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74.25" hidden="false" customHeight="true" outlineLevel="0" collapsed="false">
      <c r="A44" s="10" t="s">
        <v>225</v>
      </c>
      <c r="B44" s="10" t="s">
        <v>226</v>
      </c>
      <c r="C44" s="10" t="n">
        <v>10</v>
      </c>
      <c r="D44" s="10" t="s">
        <v>44</v>
      </c>
      <c r="E44" s="10" t="s">
        <v>227</v>
      </c>
      <c r="F44" s="10" t="s">
        <v>228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customFormat="false" ht="32.25" hidden="false" customHeight="true" outlineLevel="0" collapsed="false">
      <c r="A45" s="10" t="s">
        <v>229</v>
      </c>
      <c r="B45" s="10" t="s">
        <v>230</v>
      </c>
      <c r="C45" s="10" t="n">
        <v>9</v>
      </c>
      <c r="D45" s="10" t="s">
        <v>231</v>
      </c>
      <c r="E45" s="10" t="s">
        <v>232</v>
      </c>
      <c r="F45" s="10" t="s">
        <v>176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customFormat="false" ht="63.75" hidden="false" customHeight="true" outlineLevel="0" collapsed="false">
      <c r="A46" s="10" t="s">
        <v>233</v>
      </c>
      <c r="B46" s="10" t="s">
        <v>234</v>
      </c>
      <c r="C46" s="10" t="n">
        <v>6</v>
      </c>
      <c r="D46" s="10" t="s">
        <v>44</v>
      </c>
      <c r="E46" s="10" t="s">
        <v>235</v>
      </c>
      <c r="F46" s="10" t="s">
        <v>236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42.75" hidden="false" customHeight="true" outlineLevel="0" collapsed="false">
      <c r="A47" s="10" t="s">
        <v>237</v>
      </c>
      <c r="B47" s="10" t="s">
        <v>238</v>
      </c>
      <c r="C47" s="10" t="n">
        <v>5</v>
      </c>
      <c r="D47" s="10" t="s">
        <v>186</v>
      </c>
      <c r="E47" s="10" t="s">
        <v>239</v>
      </c>
      <c r="F47" s="10" t="s">
        <v>176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customFormat="false" ht="42.75" hidden="false" customHeight="true" outlineLevel="0" collapsed="false">
      <c r="A48" s="10" t="s">
        <v>240</v>
      </c>
      <c r="B48" s="10" t="s">
        <v>241</v>
      </c>
      <c r="C48" s="10" t="n">
        <v>1</v>
      </c>
      <c r="D48" s="10" t="s">
        <v>231</v>
      </c>
      <c r="E48" s="10" t="s">
        <v>242</v>
      </c>
      <c r="F48" s="10" t="s">
        <v>243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customFormat="false" ht="15" hidden="false" customHeight="true" outlineLevel="0" collapsed="false">
      <c r="A49" s="10" t="s">
        <v>244</v>
      </c>
      <c r="B49" s="10" t="s">
        <v>245</v>
      </c>
      <c r="C49" s="10" t="n">
        <v>1</v>
      </c>
      <c r="D49" s="10" t="s">
        <v>231</v>
      </c>
      <c r="E49" s="10" t="s">
        <v>246</v>
      </c>
      <c r="F49" s="10" t="s">
        <v>176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</row>
  </sheetData>
  <autoFilter ref="A1:P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42"/>
    <col collapsed="false" customWidth="true" hidden="false" outlineLevel="0" max="7" min="6" style="1" width="46"/>
    <col collapsed="false" customWidth="true" hidden="false" outlineLevel="0" max="8" min="8" style="1" width="22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8"/>
    <col collapsed="false" customWidth="true" hidden="false" outlineLevel="0" max="12" min="12" style="1" width="30"/>
    <col collapsed="false" customWidth="true" hidden="false" outlineLevel="0" max="13" min="13" style="1" width="26"/>
    <col collapsed="false" customWidth="true" hidden="false" outlineLevel="0" max="14" min="14" style="1" width="11"/>
    <col collapsed="false" customWidth="true" hidden="false" outlineLevel="0" max="15" min="15" style="1" width="22"/>
    <col collapsed="false" customWidth="true" hidden="false" outlineLevel="0" max="16" min="16" style="1" width="30"/>
  </cols>
  <sheetData>
    <row r="1" customFormat="false" ht="51.7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41</v>
      </c>
    </row>
    <row r="2" customFormat="false" ht="32.25" hidden="false" customHeight="true" outlineLevel="0" collapsed="false">
      <c r="A2" s="9" t="s">
        <v>42</v>
      </c>
      <c r="B2" s="9" t="s">
        <v>43</v>
      </c>
      <c r="C2" s="9" t="n">
        <v>38</v>
      </c>
      <c r="D2" s="9" t="s">
        <v>247</v>
      </c>
      <c r="E2" s="9" t="s">
        <v>248</v>
      </c>
      <c r="F2" s="9" t="s">
        <v>249</v>
      </c>
      <c r="G2" s="9" t="s">
        <v>250</v>
      </c>
      <c r="H2" s="9" t="s">
        <v>251</v>
      </c>
      <c r="I2" s="9" t="s">
        <v>252</v>
      </c>
      <c r="J2" s="9" t="s">
        <v>253</v>
      </c>
      <c r="K2" s="9" t="s">
        <v>254</v>
      </c>
      <c r="L2" s="9" t="s">
        <v>255</v>
      </c>
      <c r="M2" s="9" t="s">
        <v>256</v>
      </c>
      <c r="N2" s="9" t="s">
        <v>54</v>
      </c>
      <c r="O2" s="9" t="s">
        <v>257</v>
      </c>
      <c r="P2" s="9" t="s">
        <v>258</v>
      </c>
    </row>
    <row r="3" customFormat="false" ht="32.25" hidden="false" customHeight="true" outlineLevel="0" collapsed="false">
      <c r="A3" s="10" t="s">
        <v>201</v>
      </c>
      <c r="B3" s="10" t="s">
        <v>202</v>
      </c>
      <c r="C3" s="10" t="n">
        <v>194</v>
      </c>
      <c r="D3" s="10" t="s">
        <v>247</v>
      </c>
      <c r="E3" s="10" t="s">
        <v>259</v>
      </c>
      <c r="F3" s="10" t="s">
        <v>260</v>
      </c>
      <c r="G3" s="11"/>
      <c r="H3" s="11"/>
      <c r="I3" s="11"/>
      <c r="J3" s="11"/>
      <c r="K3" s="11"/>
      <c r="L3" s="11"/>
      <c r="M3" s="11"/>
      <c r="N3" s="11"/>
      <c r="O3" s="11"/>
      <c r="P3" s="11"/>
    </row>
    <row r="4" customFormat="false" ht="63.75" hidden="false" customHeight="true" outlineLevel="0" collapsed="false">
      <c r="A4" s="10" t="s">
        <v>97</v>
      </c>
      <c r="B4" s="10" t="s">
        <v>98</v>
      </c>
      <c r="C4" s="10" t="n">
        <v>184</v>
      </c>
      <c r="D4" s="10" t="s">
        <v>247</v>
      </c>
      <c r="E4" s="10" t="s">
        <v>261</v>
      </c>
      <c r="F4" s="10" t="s">
        <v>262</v>
      </c>
      <c r="G4" s="11"/>
      <c r="H4" s="11"/>
      <c r="I4" s="11"/>
      <c r="J4" s="11"/>
      <c r="K4" s="11"/>
      <c r="L4" s="11"/>
      <c r="M4" s="11"/>
      <c r="N4" s="11"/>
      <c r="O4" s="11"/>
      <c r="P4" s="11"/>
    </row>
    <row r="5" customFormat="false" ht="74.25" hidden="false" customHeight="true" outlineLevel="0" collapsed="false">
      <c r="A5" s="10" t="s">
        <v>84</v>
      </c>
      <c r="B5" s="10" t="s">
        <v>85</v>
      </c>
      <c r="C5" s="10" t="n">
        <v>174</v>
      </c>
      <c r="D5" s="10" t="s">
        <v>247</v>
      </c>
      <c r="E5" s="10" t="s">
        <v>263</v>
      </c>
      <c r="F5" s="10" t="s">
        <v>264</v>
      </c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false" ht="63.75" hidden="false" customHeight="true" outlineLevel="0" collapsed="false">
      <c r="A6" s="10" t="s">
        <v>71</v>
      </c>
      <c r="B6" s="10" t="s">
        <v>72</v>
      </c>
      <c r="C6" s="10" t="n">
        <v>162</v>
      </c>
      <c r="D6" s="10" t="s">
        <v>247</v>
      </c>
      <c r="E6" s="10" t="s">
        <v>265</v>
      </c>
      <c r="F6" s="10" t="s">
        <v>266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63.75" hidden="false" customHeight="true" outlineLevel="0" collapsed="false">
      <c r="A7" s="10" t="s">
        <v>205</v>
      </c>
      <c r="B7" s="10" t="s">
        <v>206</v>
      </c>
      <c r="C7" s="10" t="n">
        <v>148</v>
      </c>
      <c r="D7" s="10" t="s">
        <v>247</v>
      </c>
      <c r="E7" s="10" t="s">
        <v>267</v>
      </c>
      <c r="F7" s="10" t="s">
        <v>268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3.25" hidden="false" customHeight="true" outlineLevel="0" collapsed="false">
      <c r="A8" s="10" t="s">
        <v>62</v>
      </c>
      <c r="B8" s="10" t="s">
        <v>63</v>
      </c>
      <c r="C8" s="10" t="n">
        <v>120</v>
      </c>
      <c r="D8" s="10" t="s">
        <v>247</v>
      </c>
      <c r="E8" s="10" t="s">
        <v>269</v>
      </c>
      <c r="F8" s="10" t="s">
        <v>270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42.75" hidden="false" customHeight="true" outlineLevel="0" collapsed="false">
      <c r="A9" s="10" t="s">
        <v>80</v>
      </c>
      <c r="B9" s="10" t="s">
        <v>81</v>
      </c>
      <c r="C9" s="10" t="n">
        <v>108</v>
      </c>
      <c r="D9" s="10" t="s">
        <v>247</v>
      </c>
      <c r="E9" s="10" t="s">
        <v>271</v>
      </c>
      <c r="F9" s="10" t="s">
        <v>272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74.25" hidden="false" customHeight="true" outlineLevel="0" collapsed="false">
      <c r="A10" s="10" t="s">
        <v>225</v>
      </c>
      <c r="B10" s="10" t="s">
        <v>226</v>
      </c>
      <c r="C10" s="10" t="n">
        <v>100</v>
      </c>
      <c r="D10" s="10" t="s">
        <v>247</v>
      </c>
      <c r="E10" s="10" t="s">
        <v>273</v>
      </c>
      <c r="F10" s="10" t="s">
        <v>228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customFormat="false" ht="84.75" hidden="false" customHeight="true" outlineLevel="0" collapsed="false">
      <c r="A11" s="10" t="s">
        <v>274</v>
      </c>
      <c r="B11" s="10" t="s">
        <v>275</v>
      </c>
      <c r="C11" s="10" t="n">
        <v>94</v>
      </c>
      <c r="D11" s="10" t="s">
        <v>276</v>
      </c>
      <c r="E11" s="10" t="s">
        <v>277</v>
      </c>
      <c r="F11" s="10" t="s">
        <v>278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42.75" hidden="false" customHeight="true" outlineLevel="0" collapsed="false">
      <c r="A12" s="10" t="s">
        <v>149</v>
      </c>
      <c r="B12" s="10" t="s">
        <v>150</v>
      </c>
      <c r="C12" s="10" t="n">
        <v>91</v>
      </c>
      <c r="D12" s="10" t="s">
        <v>276</v>
      </c>
      <c r="E12" s="10" t="s">
        <v>279</v>
      </c>
      <c r="F12" s="10" t="s">
        <v>280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32.25" hidden="false" customHeight="true" outlineLevel="0" collapsed="false">
      <c r="A13" s="10" t="s">
        <v>177</v>
      </c>
      <c r="B13" s="10" t="s">
        <v>178</v>
      </c>
      <c r="C13" s="10" t="n">
        <v>81</v>
      </c>
      <c r="D13" s="10" t="s">
        <v>247</v>
      </c>
      <c r="E13" s="10" t="s">
        <v>281</v>
      </c>
      <c r="F13" s="10" t="s">
        <v>176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customFormat="false" ht="32.25" hidden="false" customHeight="true" outlineLevel="0" collapsed="false">
      <c r="A14" s="10" t="s">
        <v>180</v>
      </c>
      <c r="B14" s="10" t="s">
        <v>181</v>
      </c>
      <c r="C14" s="10" t="n">
        <v>80</v>
      </c>
      <c r="D14" s="10" t="s">
        <v>247</v>
      </c>
      <c r="E14" s="10" t="s">
        <v>282</v>
      </c>
      <c r="F14" s="10" t="s">
        <v>283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customFormat="false" ht="63.75" hidden="false" customHeight="true" outlineLevel="0" collapsed="false">
      <c r="A15" s="10" t="s">
        <v>113</v>
      </c>
      <c r="B15" s="10" t="s">
        <v>114</v>
      </c>
      <c r="C15" s="10" t="n">
        <v>77</v>
      </c>
      <c r="D15" s="10" t="s">
        <v>247</v>
      </c>
      <c r="E15" s="10" t="s">
        <v>284</v>
      </c>
      <c r="F15" s="10" t="s">
        <v>285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customFormat="false" ht="42.75" hidden="false" customHeight="true" outlineLevel="0" collapsed="false">
      <c r="A16" s="10" t="s">
        <v>229</v>
      </c>
      <c r="B16" s="10" t="s">
        <v>230</v>
      </c>
      <c r="C16" s="10" t="n">
        <v>75</v>
      </c>
      <c r="D16" s="10" t="s">
        <v>286</v>
      </c>
      <c r="E16" s="10" t="s">
        <v>287</v>
      </c>
      <c r="F16" s="10" t="s">
        <v>288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false" ht="63.75" hidden="false" customHeight="true" outlineLevel="0" collapsed="false">
      <c r="A17" s="10" t="s">
        <v>109</v>
      </c>
      <c r="B17" s="10" t="s">
        <v>110</v>
      </c>
      <c r="C17" s="10" t="n">
        <v>74</v>
      </c>
      <c r="D17" s="10" t="s">
        <v>247</v>
      </c>
      <c r="E17" s="10" t="s">
        <v>289</v>
      </c>
      <c r="F17" s="10" t="s">
        <v>290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false" ht="42.75" hidden="false" customHeight="true" outlineLevel="0" collapsed="false">
      <c r="A18" s="10" t="s">
        <v>137</v>
      </c>
      <c r="B18" s="10" t="s">
        <v>138</v>
      </c>
      <c r="C18" s="10" t="n">
        <v>73</v>
      </c>
      <c r="D18" s="10" t="s">
        <v>247</v>
      </c>
      <c r="E18" s="10" t="s">
        <v>291</v>
      </c>
      <c r="F18" s="10" t="s">
        <v>292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customFormat="false" ht="63.75" hidden="false" customHeight="true" outlineLevel="0" collapsed="false">
      <c r="A19" s="10" t="s">
        <v>75</v>
      </c>
      <c r="B19" s="10" t="s">
        <v>76</v>
      </c>
      <c r="C19" s="10" t="n">
        <v>68</v>
      </c>
      <c r="D19" s="10" t="s">
        <v>247</v>
      </c>
      <c r="E19" s="10" t="s">
        <v>293</v>
      </c>
      <c r="F19" s="10" t="s">
        <v>294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customFormat="false" ht="32.25" hidden="false" customHeight="true" outlineLevel="0" collapsed="false">
      <c r="A20" s="10" t="s">
        <v>129</v>
      </c>
      <c r="B20" s="10" t="s">
        <v>130</v>
      </c>
      <c r="C20" s="10" t="n">
        <v>66</v>
      </c>
      <c r="D20" s="10" t="s">
        <v>247</v>
      </c>
      <c r="E20" s="10" t="s">
        <v>295</v>
      </c>
      <c r="F20" s="10" t="s">
        <v>296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customFormat="false" ht="32.25" hidden="false" customHeight="true" outlineLevel="0" collapsed="false">
      <c r="A21" s="10" t="s">
        <v>105</v>
      </c>
      <c r="B21" s="10" t="s">
        <v>106</v>
      </c>
      <c r="C21" s="10" t="n">
        <v>65</v>
      </c>
      <c r="D21" s="10" t="s">
        <v>247</v>
      </c>
      <c r="E21" s="10" t="s">
        <v>297</v>
      </c>
      <c r="F21" s="10" t="s">
        <v>298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customFormat="false" ht="63.75" hidden="false" customHeight="true" outlineLevel="0" collapsed="false">
      <c r="A22" s="10" t="s">
        <v>57</v>
      </c>
      <c r="B22" s="10" t="s">
        <v>58</v>
      </c>
      <c r="C22" s="10" t="n">
        <v>63</v>
      </c>
      <c r="D22" s="10" t="s">
        <v>247</v>
      </c>
      <c r="E22" s="10" t="s">
        <v>299</v>
      </c>
      <c r="F22" s="10" t="s">
        <v>300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customFormat="false" ht="32.25" hidden="false" customHeight="true" outlineLevel="0" collapsed="false">
      <c r="A23" s="10" t="s">
        <v>197</v>
      </c>
      <c r="B23" s="10" t="s">
        <v>198</v>
      </c>
      <c r="C23" s="10" t="n">
        <v>62</v>
      </c>
      <c r="D23" s="10" t="s">
        <v>276</v>
      </c>
      <c r="E23" s="10" t="s">
        <v>301</v>
      </c>
      <c r="F23" s="10" t="s">
        <v>200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customFormat="false" ht="21.75" hidden="false" customHeight="true" outlineLevel="0" collapsed="false">
      <c r="A24" s="10" t="s">
        <v>237</v>
      </c>
      <c r="B24" s="10" t="s">
        <v>238</v>
      </c>
      <c r="C24" s="10" t="n">
        <v>61</v>
      </c>
      <c r="D24" s="10" t="s">
        <v>247</v>
      </c>
      <c r="E24" s="10" t="s">
        <v>302</v>
      </c>
      <c r="F24" s="10" t="s">
        <v>176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customFormat="false" ht="42.75" hidden="false" customHeight="true" outlineLevel="0" collapsed="false">
      <c r="A25" s="10" t="s">
        <v>189</v>
      </c>
      <c r="B25" s="10" t="s">
        <v>190</v>
      </c>
      <c r="C25" s="10" t="n">
        <v>59</v>
      </c>
      <c r="D25" s="10" t="s">
        <v>276</v>
      </c>
      <c r="E25" s="10" t="s">
        <v>303</v>
      </c>
      <c r="F25" s="10" t="s">
        <v>304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customFormat="false" ht="74.25" hidden="false" customHeight="true" outlineLevel="0" collapsed="false">
      <c r="A26" s="10" t="s">
        <v>67</v>
      </c>
      <c r="B26" s="10" t="s">
        <v>68</v>
      </c>
      <c r="C26" s="10" t="n">
        <v>59</v>
      </c>
      <c r="D26" s="10" t="s">
        <v>247</v>
      </c>
      <c r="E26" s="10" t="s">
        <v>305</v>
      </c>
      <c r="F26" s="10" t="s">
        <v>70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customFormat="false" ht="32.25" hidden="false" customHeight="true" outlineLevel="0" collapsed="false">
      <c r="A27" s="10" t="s">
        <v>169</v>
      </c>
      <c r="B27" s="10" t="s">
        <v>170</v>
      </c>
      <c r="C27" s="10" t="n">
        <v>58</v>
      </c>
      <c r="D27" s="10" t="s">
        <v>247</v>
      </c>
      <c r="E27" s="10" t="s">
        <v>306</v>
      </c>
      <c r="F27" s="10" t="s">
        <v>172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customFormat="false" ht="63.75" hidden="false" customHeight="true" outlineLevel="0" collapsed="false">
      <c r="A28" s="10" t="s">
        <v>92</v>
      </c>
      <c r="B28" s="10" t="s">
        <v>93</v>
      </c>
      <c r="C28" s="10" t="n">
        <v>58</v>
      </c>
      <c r="D28" s="10" t="s">
        <v>247</v>
      </c>
      <c r="E28" s="10" t="s">
        <v>307</v>
      </c>
      <c r="F28" s="10" t="s">
        <v>308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customFormat="false" ht="63.75" hidden="false" customHeight="true" outlineLevel="0" collapsed="false">
      <c r="A29" s="10" t="s">
        <v>121</v>
      </c>
      <c r="B29" s="10" t="s">
        <v>122</v>
      </c>
      <c r="C29" s="10" t="n">
        <v>56</v>
      </c>
      <c r="D29" s="10" t="s">
        <v>247</v>
      </c>
      <c r="E29" s="10" t="s">
        <v>309</v>
      </c>
      <c r="F29" s="10" t="s">
        <v>310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customFormat="false" ht="32.25" hidden="false" customHeight="true" outlineLevel="0" collapsed="false">
      <c r="A30" s="10" t="s">
        <v>101</v>
      </c>
      <c r="B30" s="10" t="s">
        <v>102</v>
      </c>
      <c r="C30" s="10" t="n">
        <v>54</v>
      </c>
      <c r="D30" s="10" t="s">
        <v>247</v>
      </c>
      <c r="E30" s="10" t="s">
        <v>311</v>
      </c>
      <c r="F30" s="10" t="s">
        <v>312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customFormat="false" ht="32.25" hidden="false" customHeight="true" outlineLevel="0" collapsed="false">
      <c r="A31" s="10" t="s">
        <v>173</v>
      </c>
      <c r="B31" s="10" t="s">
        <v>174</v>
      </c>
      <c r="C31" s="10" t="n">
        <v>50</v>
      </c>
      <c r="D31" s="10" t="s">
        <v>247</v>
      </c>
      <c r="E31" s="10" t="s">
        <v>313</v>
      </c>
      <c r="F31" s="10" t="s">
        <v>176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customFormat="false" ht="32.25" hidden="false" customHeight="true" outlineLevel="0" collapsed="false">
      <c r="A32" s="10" t="s">
        <v>233</v>
      </c>
      <c r="B32" s="10" t="s">
        <v>234</v>
      </c>
      <c r="C32" s="10" t="n">
        <v>49</v>
      </c>
      <c r="D32" s="10" t="s">
        <v>247</v>
      </c>
      <c r="E32" s="10" t="s">
        <v>314</v>
      </c>
      <c r="F32" s="10" t="s">
        <v>315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customFormat="false" ht="63.75" hidden="false" customHeight="true" outlineLevel="0" collapsed="false">
      <c r="A33" s="10" t="s">
        <v>244</v>
      </c>
      <c r="B33" s="10" t="s">
        <v>245</v>
      </c>
      <c r="C33" s="10" t="n">
        <v>44</v>
      </c>
      <c r="D33" s="10" t="s">
        <v>247</v>
      </c>
      <c r="E33" s="10" t="s">
        <v>316</v>
      </c>
      <c r="F33" s="10" t="s">
        <v>317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customFormat="false" ht="32.25" hidden="false" customHeight="true" outlineLevel="0" collapsed="false">
      <c r="A34" s="10" t="s">
        <v>165</v>
      </c>
      <c r="B34" s="10" t="s">
        <v>166</v>
      </c>
      <c r="C34" s="10" t="n">
        <v>42</v>
      </c>
      <c r="D34" s="10" t="s">
        <v>247</v>
      </c>
      <c r="E34" s="10" t="s">
        <v>318</v>
      </c>
      <c r="F34" s="10" t="s">
        <v>319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customFormat="false" ht="32.25" hidden="false" customHeight="true" outlineLevel="0" collapsed="false">
      <c r="A35" s="10" t="s">
        <v>88</v>
      </c>
      <c r="B35" s="10" t="s">
        <v>89</v>
      </c>
      <c r="C35" s="10" t="n">
        <v>41</v>
      </c>
      <c r="D35" s="10" t="s">
        <v>247</v>
      </c>
      <c r="E35" s="10" t="s">
        <v>320</v>
      </c>
      <c r="F35" s="10" t="s">
        <v>321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customFormat="false" ht="53.25" hidden="false" customHeight="true" outlineLevel="0" collapsed="false">
      <c r="A36" s="10" t="s">
        <v>322</v>
      </c>
      <c r="B36" s="10" t="s">
        <v>323</v>
      </c>
      <c r="C36" s="10" t="n">
        <v>40</v>
      </c>
      <c r="D36" s="10" t="s">
        <v>247</v>
      </c>
      <c r="E36" s="10" t="s">
        <v>324</v>
      </c>
      <c r="F36" s="10" t="s">
        <v>325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32.25" hidden="false" customHeight="true" outlineLevel="0" collapsed="false">
      <c r="A37" s="10" t="s">
        <v>117</v>
      </c>
      <c r="B37" s="10" t="s">
        <v>118</v>
      </c>
      <c r="C37" s="10" t="n">
        <v>40</v>
      </c>
      <c r="D37" s="10" t="s">
        <v>247</v>
      </c>
      <c r="E37" s="10" t="s">
        <v>326</v>
      </c>
      <c r="F37" s="10" t="s">
        <v>176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customFormat="false" ht="32.25" hidden="false" customHeight="true" outlineLevel="0" collapsed="false">
      <c r="A38" s="10" t="s">
        <v>153</v>
      </c>
      <c r="B38" s="10" t="s">
        <v>154</v>
      </c>
      <c r="C38" s="10" t="n">
        <v>39</v>
      </c>
      <c r="D38" s="10" t="s">
        <v>247</v>
      </c>
      <c r="E38" s="10" t="s">
        <v>327</v>
      </c>
      <c r="F38" s="10" t="s">
        <v>156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customFormat="false" ht="32.25" hidden="false" customHeight="true" outlineLevel="0" collapsed="false">
      <c r="A39" s="10" t="s">
        <v>133</v>
      </c>
      <c r="B39" s="10" t="s">
        <v>134</v>
      </c>
      <c r="C39" s="10" t="n">
        <v>39</v>
      </c>
      <c r="D39" s="10" t="s">
        <v>247</v>
      </c>
      <c r="E39" s="10" t="s">
        <v>328</v>
      </c>
      <c r="F39" s="10" t="s">
        <v>329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customFormat="false" ht="32.25" hidden="false" customHeight="true" outlineLevel="0" collapsed="false">
      <c r="A40" s="10" t="s">
        <v>125</v>
      </c>
      <c r="B40" s="10" t="s">
        <v>126</v>
      </c>
      <c r="C40" s="10" t="n">
        <v>37</v>
      </c>
      <c r="D40" s="10" t="s">
        <v>247</v>
      </c>
      <c r="E40" s="10" t="s">
        <v>330</v>
      </c>
      <c r="F40" s="10" t="s">
        <v>331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customFormat="false" ht="42.75" hidden="false" customHeight="true" outlineLevel="0" collapsed="false">
      <c r="A41" s="10" t="s">
        <v>141</v>
      </c>
      <c r="B41" s="10" t="s">
        <v>142</v>
      </c>
      <c r="C41" s="10" t="n">
        <v>35</v>
      </c>
      <c r="D41" s="10" t="s">
        <v>247</v>
      </c>
      <c r="E41" s="10" t="s">
        <v>332</v>
      </c>
      <c r="F41" s="10" t="s">
        <v>144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customFormat="false" ht="32.25" hidden="false" customHeight="true" outlineLevel="0" collapsed="false">
      <c r="A42" s="10" t="s">
        <v>240</v>
      </c>
      <c r="B42" s="10" t="s">
        <v>241</v>
      </c>
      <c r="C42" s="10" t="n">
        <v>35</v>
      </c>
      <c r="D42" s="10" t="s">
        <v>247</v>
      </c>
      <c r="E42" s="10" t="s">
        <v>333</v>
      </c>
      <c r="F42" s="10" t="s">
        <v>334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customFormat="false" ht="63.75" hidden="false" customHeight="true" outlineLevel="0" collapsed="false">
      <c r="A43" s="10" t="s">
        <v>221</v>
      </c>
      <c r="B43" s="10" t="s">
        <v>222</v>
      </c>
      <c r="C43" s="10" t="n">
        <v>30</v>
      </c>
      <c r="D43" s="10" t="s">
        <v>247</v>
      </c>
      <c r="E43" s="10" t="s">
        <v>335</v>
      </c>
      <c r="F43" s="10" t="s">
        <v>336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63.75" hidden="false" customHeight="true" outlineLevel="0" collapsed="false">
      <c r="A44" s="10" t="s">
        <v>217</v>
      </c>
      <c r="B44" s="10" t="s">
        <v>218</v>
      </c>
      <c r="C44" s="10" t="n">
        <v>29</v>
      </c>
      <c r="D44" s="10" t="s">
        <v>247</v>
      </c>
      <c r="E44" s="10" t="s">
        <v>337</v>
      </c>
      <c r="F44" s="10" t="s">
        <v>220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customFormat="false" ht="63.75" hidden="false" customHeight="true" outlineLevel="0" collapsed="false">
      <c r="A45" s="10" t="s">
        <v>193</v>
      </c>
      <c r="B45" s="10" t="s">
        <v>194</v>
      </c>
      <c r="C45" s="10" t="n">
        <v>28</v>
      </c>
      <c r="D45" s="10" t="s">
        <v>247</v>
      </c>
      <c r="E45" s="10" t="s">
        <v>338</v>
      </c>
      <c r="F45" s="10" t="s">
        <v>339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customFormat="false" ht="63.75" hidden="false" customHeight="true" outlineLevel="0" collapsed="false">
      <c r="A46" s="10" t="s">
        <v>213</v>
      </c>
      <c r="B46" s="10" t="s">
        <v>214</v>
      </c>
      <c r="C46" s="10" t="n">
        <v>24</v>
      </c>
      <c r="D46" s="10" t="s">
        <v>247</v>
      </c>
      <c r="E46" s="10" t="s">
        <v>340</v>
      </c>
      <c r="F46" s="10" t="s">
        <v>341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32.25" hidden="false" customHeight="true" outlineLevel="0" collapsed="false">
      <c r="A47" s="10" t="s">
        <v>161</v>
      </c>
      <c r="B47" s="10" t="s">
        <v>162</v>
      </c>
      <c r="C47" s="10" t="n">
        <v>23</v>
      </c>
      <c r="D47" s="10" t="s">
        <v>247</v>
      </c>
      <c r="E47" s="10" t="s">
        <v>342</v>
      </c>
      <c r="F47" s="10" t="s">
        <v>343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customFormat="false" ht="32.25" hidden="false" customHeight="true" outlineLevel="0" collapsed="false">
      <c r="A48" s="10" t="s">
        <v>145</v>
      </c>
      <c r="B48" s="10" t="s">
        <v>146</v>
      </c>
      <c r="C48" s="10" t="n">
        <v>21</v>
      </c>
      <c r="D48" s="10" t="s">
        <v>247</v>
      </c>
      <c r="E48" s="10" t="s">
        <v>344</v>
      </c>
      <c r="F48" s="10" t="s">
        <v>176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customFormat="false" ht="74.25" hidden="false" customHeight="true" outlineLevel="0" collapsed="false">
      <c r="A49" s="10" t="s">
        <v>209</v>
      </c>
      <c r="B49" s="10" t="s">
        <v>210</v>
      </c>
      <c r="C49" s="10" t="n">
        <v>18</v>
      </c>
      <c r="D49" s="10" t="s">
        <v>247</v>
      </c>
      <c r="E49" s="10" t="s">
        <v>345</v>
      </c>
      <c r="F49" s="10" t="s">
        <v>346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customFormat="false" ht="32.25" hidden="false" customHeight="true" outlineLevel="0" collapsed="false">
      <c r="A50" s="10" t="s">
        <v>157</v>
      </c>
      <c r="B50" s="10" t="s">
        <v>158</v>
      </c>
      <c r="C50" s="10" t="n">
        <v>17</v>
      </c>
      <c r="D50" s="10" t="s">
        <v>247</v>
      </c>
      <c r="E50" s="10" t="s">
        <v>347</v>
      </c>
      <c r="F50" s="10" t="s">
        <v>348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customFormat="false" ht="63.75" hidden="false" customHeight="true" outlineLevel="0" collapsed="false">
      <c r="A51" s="10" t="s">
        <v>184</v>
      </c>
      <c r="B51" s="10" t="s">
        <v>185</v>
      </c>
      <c r="C51" s="10" t="n">
        <v>16</v>
      </c>
      <c r="D51" s="10" t="s">
        <v>247</v>
      </c>
      <c r="E51" s="10" t="s">
        <v>349</v>
      </c>
      <c r="F51" s="10" t="s">
        <v>350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</row>
  </sheetData>
  <autoFilter ref="A1:P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60"/>
    <col collapsed="false" customWidth="true" hidden="false" outlineLevel="0" max="5" min="4" style="1" width="14"/>
    <col collapsed="false" customWidth="true" hidden="false" outlineLevel="0" max="6" min="6" style="1" width="30"/>
    <col collapsed="false" customWidth="true" hidden="false" outlineLevel="0" max="7" min="7" style="1" width="16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0" min="10" style="1" width="18"/>
    <col collapsed="false" customWidth="true" hidden="false" outlineLevel="0" max="11" min="11" style="1" width="40"/>
  </cols>
  <sheetData>
    <row r="1" customFormat="false" ht="39" hidden="false" customHeight="true" outlineLevel="0" collapsed="false">
      <c r="A1" s="8" t="s">
        <v>351</v>
      </c>
      <c r="B1" s="8" t="s">
        <v>26</v>
      </c>
      <c r="C1" s="8" t="s">
        <v>352</v>
      </c>
      <c r="D1" s="8" t="s">
        <v>353</v>
      </c>
      <c r="E1" s="8" t="s">
        <v>354</v>
      </c>
      <c r="F1" s="8" t="s">
        <v>355</v>
      </c>
      <c r="G1" s="8" t="s">
        <v>356</v>
      </c>
      <c r="H1" s="8" t="s">
        <v>357</v>
      </c>
      <c r="I1" s="8" t="s">
        <v>358</v>
      </c>
      <c r="J1" s="8" t="s">
        <v>359</v>
      </c>
      <c r="K1" s="8" t="s">
        <v>360</v>
      </c>
    </row>
    <row r="2" customFormat="false" ht="15" hidden="false" customHeight="true" outlineLevel="0" collapsed="false">
      <c r="A2" s="12" t="s">
        <v>361</v>
      </c>
      <c r="B2" s="12" t="s">
        <v>42</v>
      </c>
      <c r="C2" s="12" t="s">
        <v>47</v>
      </c>
      <c r="D2" s="12" t="s">
        <v>362</v>
      </c>
      <c r="E2" s="12" t="s">
        <v>363</v>
      </c>
      <c r="F2" s="12" t="s">
        <v>364</v>
      </c>
      <c r="G2" s="12" t="s">
        <v>50</v>
      </c>
      <c r="H2" s="12" t="s">
        <v>51</v>
      </c>
      <c r="I2" s="12" t="s">
        <v>54</v>
      </c>
      <c r="J2" s="12" t="s">
        <v>257</v>
      </c>
      <c r="K2" s="12" t="s">
        <v>365</v>
      </c>
    </row>
    <row r="3" customFormat="false" ht="15" hidden="false" customHeight="tru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customFormat="false" ht="15" hidden="false" customHeight="tru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5" hidden="false" customHeight="tru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1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5" hidden="false" customHeight="tru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5" hidden="false" customHeight="tru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tru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tru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1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1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1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1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1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1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1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1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1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customFormat="false" ht="1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1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customFormat="false" ht="1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false" ht="1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1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customFormat="false" ht="1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1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customFormat="false" ht="1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customFormat="false" ht="1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1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customFormat="false" ht="1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customFormat="false" ht="1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customFormat="false" ht="1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customFormat="false" ht="1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1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customFormat="false" ht="1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1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customFormat="false" ht="1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customFormat="false" ht="1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customFormat="false" ht="1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customFormat="false" ht="1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customFormat="false" ht="1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customFormat="false" ht="1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customFormat="false" ht="1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customFormat="false" ht="1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customFormat="false" ht="1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customFormat="false" ht="1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customFormat="false" ht="1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customFormat="false" ht="1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customFormat="false" ht="1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customFormat="false" ht="1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customFormat="false" ht="1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80"/>
    <col collapsed="false" customWidth="true" hidden="false" outlineLevel="0" max="4" min="4" style="1" width="50"/>
  </cols>
  <sheetData>
    <row r="1" customFormat="false" ht="26.25" hidden="false" customHeight="true" outlineLevel="0" collapsed="false">
      <c r="A1" s="5" t="s">
        <v>366</v>
      </c>
      <c r="B1" s="5" t="s">
        <v>367</v>
      </c>
      <c r="C1" s="5" t="s">
        <v>352</v>
      </c>
      <c r="D1" s="5" t="s">
        <v>368</v>
      </c>
    </row>
    <row r="2" customFormat="false" ht="21.75" hidden="false" customHeight="true" outlineLevel="0" collapsed="false">
      <c r="A2" s="14" t="s">
        <v>369</v>
      </c>
      <c r="B2" s="14" t="s">
        <v>370</v>
      </c>
      <c r="C2" s="14" t="s">
        <v>47</v>
      </c>
      <c r="D2" s="14" t="s">
        <v>371</v>
      </c>
    </row>
    <row r="3" customFormat="false" ht="21.75" hidden="false" customHeight="true" outlineLevel="0" collapsed="false">
      <c r="A3" s="14" t="s">
        <v>372</v>
      </c>
      <c r="B3" s="14" t="s">
        <v>373</v>
      </c>
      <c r="C3" s="14" t="s">
        <v>374</v>
      </c>
      <c r="D3" s="14" t="s">
        <v>375</v>
      </c>
    </row>
    <row r="4" customFormat="false" ht="21.75" hidden="false" customHeight="true" outlineLevel="0" collapsed="false">
      <c r="A4" s="14" t="s">
        <v>376</v>
      </c>
      <c r="B4" s="14" t="s">
        <v>373</v>
      </c>
      <c r="C4" s="14" t="s">
        <v>377</v>
      </c>
      <c r="D4" s="14" t="s">
        <v>378</v>
      </c>
    </row>
    <row r="5" customFormat="false" ht="21.75" hidden="false" customHeight="true" outlineLevel="0" collapsed="false">
      <c r="A5" s="14" t="s">
        <v>379</v>
      </c>
      <c r="B5" s="14" t="s">
        <v>370</v>
      </c>
      <c r="C5" s="14" t="s">
        <v>380</v>
      </c>
      <c r="D5" s="14" t="s">
        <v>381</v>
      </c>
    </row>
    <row r="6" customFormat="false" ht="21.75" hidden="false" customHeight="true" outlineLevel="0" collapsed="false">
      <c r="A6" s="14" t="s">
        <v>382</v>
      </c>
      <c r="B6" s="14" t="s">
        <v>383</v>
      </c>
      <c r="C6" s="14" t="s">
        <v>384</v>
      </c>
      <c r="D6" s="14" t="s">
        <v>385</v>
      </c>
    </row>
    <row r="7" customFormat="false" ht="21.75" hidden="false" customHeight="true" outlineLevel="0" collapsed="false">
      <c r="A7" s="14" t="s">
        <v>386</v>
      </c>
      <c r="B7" s="14" t="s">
        <v>387</v>
      </c>
      <c r="C7" s="14" t="s">
        <v>388</v>
      </c>
      <c r="D7" s="14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2026-10-25T14:27:54Z</dcterms:created>
  <dc:creator>openpyxl</dc:creator>
  <dc:description/>
  <dc:language>en-US</dc:language>
  <cp:lastModifiedBy/>
  <dcterms:modified xsi:type="dcterms:W3CDTF">2026-10-25T14:28:23Z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